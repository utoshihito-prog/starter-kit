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BEO_2\Downloads\"/>
    </mc:Choice>
  </mc:AlternateContent>
  <xr:revisionPtr revIDLastSave="0" documentId="13_ncr:1_{7A99485D-DE8F-4750-B21E-DCE3C562E0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受付管理簿" sheetId="1" r:id="rId1"/>
    <sheet name="リスト" sheetId="3" r:id="rId2"/>
  </sheets>
  <definedNames>
    <definedName name="_xlnm._FilterDatabase" localSheetId="0" hidden="1">受付管理簿!$A$6:$U$506</definedName>
    <definedName name="ALL">リスト!#REF!</definedName>
    <definedName name="_xlnm.Print_Area" localSheetId="0">受付管理簿!#REF!</definedName>
    <definedName name="故障紛失">リスト!#REF!</definedName>
    <definedName name="故障紛失・改番利変">リスト!#REF!</definedName>
    <definedName name="受付グループ【ALL】" localSheetId="1">リスト!#REF!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1" i="1" l="1"/>
  <c r="A21" i="1"/>
  <c r="S19" i="1" l="1"/>
  <c r="S17" i="1" l="1"/>
  <c r="S8" i="1" l="1"/>
  <c r="S9" i="1"/>
  <c r="S10" i="1"/>
  <c r="S11" i="1"/>
  <c r="S12" i="1"/>
  <c r="S13" i="1"/>
  <c r="S14" i="1"/>
  <c r="S15" i="1"/>
  <c r="S16" i="1"/>
  <c r="S18" i="1"/>
  <c r="S20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7" i="1"/>
  <c r="E11" i="3"/>
  <c r="E9" i="3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</calcChain>
</file>

<file path=xl/sharedStrings.xml><?xml version="1.0" encoding="utf-8"?>
<sst xmlns="http://schemas.openxmlformats.org/spreadsheetml/2006/main" count="792" uniqueCount="652">
  <si>
    <t>項番</t>
    <rPh sb="0" eb="2">
      <t>コウバン</t>
    </rPh>
    <phoneticPr fontId="6"/>
  </si>
  <si>
    <t>受付日</t>
    <rPh sb="0" eb="3">
      <t>ウケツケビ</t>
    </rPh>
    <phoneticPr fontId="6"/>
  </si>
  <si>
    <t>携帯電話番号</t>
    <rPh sb="0" eb="2">
      <t>ケイタイ</t>
    </rPh>
    <rPh sb="2" eb="4">
      <t>デンワ</t>
    </rPh>
    <rPh sb="4" eb="6">
      <t>バンゴウ</t>
    </rPh>
    <phoneticPr fontId="6"/>
  </si>
  <si>
    <t>受付区分</t>
    <rPh sb="0" eb="2">
      <t>ウケツケ</t>
    </rPh>
    <rPh sb="2" eb="4">
      <t>クブン</t>
    </rPh>
    <phoneticPr fontId="6"/>
  </si>
  <si>
    <t>発送日</t>
    <rPh sb="0" eb="2">
      <t>ハッソウ</t>
    </rPh>
    <rPh sb="2" eb="3">
      <t>ビ</t>
    </rPh>
    <phoneticPr fontId="6"/>
  </si>
  <si>
    <t>伝票番号</t>
    <rPh sb="0" eb="2">
      <t>デンピョウ</t>
    </rPh>
    <rPh sb="2" eb="4">
      <t>バンゴウ</t>
    </rPh>
    <phoneticPr fontId="3"/>
  </si>
  <si>
    <t>完了日</t>
    <rPh sb="0" eb="3">
      <t>カンリョウビ</t>
    </rPh>
    <phoneticPr fontId="6"/>
  </si>
  <si>
    <t>メモ欄/備考</t>
    <rPh sb="2" eb="3">
      <t>ラン</t>
    </rPh>
    <rPh sb="4" eb="6">
      <t>ビコウ</t>
    </rPh>
    <phoneticPr fontId="6"/>
  </si>
  <si>
    <t>申告内容・症状</t>
    <rPh sb="0" eb="2">
      <t>シンコク</t>
    </rPh>
    <rPh sb="2" eb="4">
      <t>ナイヨウ</t>
    </rPh>
    <rPh sb="5" eb="7">
      <t>ショウジョウ</t>
    </rPh>
    <phoneticPr fontId="1"/>
  </si>
  <si>
    <t>機種名/交換品</t>
    <rPh sb="0" eb="3">
      <t>キシュメイ</t>
    </rPh>
    <rPh sb="4" eb="6">
      <t>コウカン</t>
    </rPh>
    <rPh sb="6" eb="7">
      <t>ヒン</t>
    </rPh>
    <phoneticPr fontId="1"/>
  </si>
  <si>
    <t>製造番号/交換品</t>
    <rPh sb="0" eb="2">
      <t>セイゾウ</t>
    </rPh>
    <rPh sb="2" eb="4">
      <t>バンゴウ</t>
    </rPh>
    <rPh sb="5" eb="7">
      <t>コウカン</t>
    </rPh>
    <rPh sb="7" eb="8">
      <t>ヒン</t>
    </rPh>
    <phoneticPr fontId="1"/>
  </si>
  <si>
    <t>070-7822-2010</t>
    <phoneticPr fontId="3"/>
  </si>
  <si>
    <t>故障</t>
  </si>
  <si>
    <t>47-240110-0662</t>
    <phoneticPr fontId="3"/>
  </si>
  <si>
    <t>2021 iPad 64GB</t>
  </si>
  <si>
    <t>バッテリーが半日で切れる</t>
    <rPh sb="6" eb="8">
      <t>ハンニチ</t>
    </rPh>
    <rPh sb="9" eb="10">
      <t>キ</t>
    </rPh>
    <phoneticPr fontId="3"/>
  </si>
  <si>
    <t>070-7825-4710</t>
    <phoneticPr fontId="3"/>
  </si>
  <si>
    <t>47-244056-2521</t>
    <phoneticPr fontId="3"/>
  </si>
  <si>
    <t>不明</t>
    <rPh sb="0" eb="2">
      <t>フメイ</t>
    </rPh>
    <phoneticPr fontId="3"/>
  </si>
  <si>
    <t>070-7822-1881</t>
    <phoneticPr fontId="3"/>
  </si>
  <si>
    <t>47-247958-7683</t>
    <phoneticPr fontId="3"/>
  </si>
  <si>
    <t>2021 iPad Pro 128GB</t>
  </si>
  <si>
    <t>電源が入らない</t>
    <rPh sb="0" eb="2">
      <t>デンゲン</t>
    </rPh>
    <rPh sb="3" eb="4">
      <t>ハイ</t>
    </rPh>
    <phoneticPr fontId="3"/>
  </si>
  <si>
    <t>070-7822-2011</t>
    <phoneticPr fontId="3"/>
  </si>
  <si>
    <t>47-247958-7624</t>
    <phoneticPr fontId="3"/>
  </si>
  <si>
    <t>バッテリーの消費が早い</t>
    <rPh sb="6" eb="8">
      <t>ショウヒ</t>
    </rPh>
    <rPh sb="9" eb="10">
      <t>ハヤ</t>
    </rPh>
    <phoneticPr fontId="3"/>
  </si>
  <si>
    <t>070-7822-2012</t>
    <phoneticPr fontId="3"/>
  </si>
  <si>
    <t>バッテーリーの消費が早い、一日持たない</t>
    <phoneticPr fontId="3"/>
  </si>
  <si>
    <t>電源が入らない</t>
    <phoneticPr fontId="3"/>
  </si>
  <si>
    <t>企業名</t>
    <rPh sb="0" eb="2">
      <t>キギョウ</t>
    </rPh>
    <rPh sb="2" eb="3">
      <t>メイ</t>
    </rPh>
    <phoneticPr fontId="15"/>
  </si>
  <si>
    <t>契約開始日</t>
    <rPh sb="0" eb="2">
      <t>ケイヤク</t>
    </rPh>
    <rPh sb="2" eb="4">
      <t>カイシ</t>
    </rPh>
    <rPh sb="4" eb="5">
      <t>ビ</t>
    </rPh>
    <phoneticPr fontId="15"/>
  </si>
  <si>
    <t>受付種別</t>
    <rPh sb="0" eb="2">
      <t>ウケツケ</t>
    </rPh>
    <rPh sb="2" eb="4">
      <t>シュベツ</t>
    </rPh>
    <phoneticPr fontId="15"/>
  </si>
  <si>
    <t>機種名</t>
    <rPh sb="0" eb="3">
      <t>キシュメイ</t>
    </rPh>
    <phoneticPr fontId="15"/>
  </si>
  <si>
    <t>契約終了日</t>
    <rPh sb="0" eb="2">
      <t>ケイヤク</t>
    </rPh>
    <rPh sb="2" eb="4">
      <t>シュウリョウ</t>
    </rPh>
    <rPh sb="4" eb="5">
      <t>ビ</t>
    </rPh>
    <phoneticPr fontId="15"/>
  </si>
  <si>
    <t>故障・紛失</t>
    <rPh sb="0" eb="2">
      <t>コショウ</t>
    </rPh>
    <rPh sb="3" eb="5">
      <t>フンシツ</t>
    </rPh>
    <phoneticPr fontId="15"/>
  </si>
  <si>
    <t>2021 iPad 64GB</t>
    <phoneticPr fontId="15"/>
  </si>
  <si>
    <t>上限件数①</t>
    <rPh sb="0" eb="2">
      <t>ジョウゲン</t>
    </rPh>
    <rPh sb="2" eb="4">
      <t>ケンスウ</t>
    </rPh>
    <phoneticPr fontId="15"/>
  </si>
  <si>
    <t>端末種別</t>
    <rPh sb="0" eb="2">
      <t>タンマツ</t>
    </rPh>
    <rPh sb="2" eb="4">
      <t>シュベツ</t>
    </rPh>
    <phoneticPr fontId="15"/>
  </si>
  <si>
    <t>2021 iPad Pro 128GB</t>
    <phoneticPr fontId="15"/>
  </si>
  <si>
    <t>上限件数②</t>
    <rPh sb="0" eb="2">
      <t>ジョウゲン</t>
    </rPh>
    <rPh sb="2" eb="4">
      <t>ケンスウ</t>
    </rPh>
    <phoneticPr fontId="15"/>
  </si>
  <si>
    <t>紛失・盗難</t>
  </si>
  <si>
    <t>改番・利用者変更</t>
    <rPh sb="0" eb="2">
      <t>カイ</t>
    </rPh>
    <rPh sb="3" eb="6">
      <t>リヨウシャ</t>
    </rPh>
    <rPh sb="6" eb="8">
      <t>ヘンコウ</t>
    </rPh>
    <phoneticPr fontId="15"/>
  </si>
  <si>
    <t>レンタル種別</t>
    <rPh sb="4" eb="6">
      <t>シュベツ</t>
    </rPh>
    <phoneticPr fontId="15"/>
  </si>
  <si>
    <t>上限カウント条件1</t>
    <rPh sb="0" eb="2">
      <t>ジョウゲン</t>
    </rPh>
    <rPh sb="6" eb="8">
      <t>ジョウケン</t>
    </rPh>
    <phoneticPr fontId="15"/>
  </si>
  <si>
    <t>故障</t>
    <rPh sb="0" eb="2">
      <t>コショウ</t>
    </rPh>
    <phoneticPr fontId="15"/>
  </si>
  <si>
    <t>-</t>
  </si>
  <si>
    <t>紛失・盗難</t>
    <rPh sb="0" eb="2">
      <t>フンシツ</t>
    </rPh>
    <rPh sb="3" eb="5">
      <t>トウナン</t>
    </rPh>
    <phoneticPr fontId="15"/>
  </si>
  <si>
    <t>キッティング</t>
    <phoneticPr fontId="3"/>
  </si>
  <si>
    <t>47-248854-8501</t>
    <phoneticPr fontId="3"/>
  </si>
  <si>
    <t>47-248854-8490</t>
    <phoneticPr fontId="3"/>
  </si>
  <si>
    <t>070-7822-1873</t>
    <phoneticPr fontId="3"/>
  </si>
  <si>
    <t>070-7822-2014</t>
    <phoneticPr fontId="3"/>
  </si>
  <si>
    <t>電池の消費が激しく半日できれてしまう</t>
    <rPh sb="0" eb="2">
      <t>デンチ</t>
    </rPh>
    <rPh sb="3" eb="5">
      <t>ショウヒ</t>
    </rPh>
    <rPh sb="6" eb="7">
      <t>ハゲ</t>
    </rPh>
    <rPh sb="9" eb="11">
      <t>ハンニチ</t>
    </rPh>
    <phoneticPr fontId="3"/>
  </si>
  <si>
    <t>47-249756-2854</t>
    <phoneticPr fontId="3"/>
  </si>
  <si>
    <t>070-7825-4912</t>
    <phoneticPr fontId="3"/>
  </si>
  <si>
    <t>アップデートできない</t>
    <phoneticPr fontId="3"/>
  </si>
  <si>
    <t>47-253670-8523</t>
    <phoneticPr fontId="3"/>
  </si>
  <si>
    <t>070-7825-4658</t>
    <phoneticPr fontId="3"/>
  </si>
  <si>
    <t>フリーボードで作成し、印刷するとアプリがダウンしてホーム画面に戻ってしまう</t>
    <phoneticPr fontId="3"/>
  </si>
  <si>
    <t>47-253575-1951</t>
    <phoneticPr fontId="3"/>
  </si>
  <si>
    <t>070-7822-2115</t>
    <phoneticPr fontId="3"/>
  </si>
  <si>
    <t>電源は入るが、ウエルキッズの管理サイトが開かない（ドコモにて故障切り分け済）</t>
    <phoneticPr fontId="3"/>
  </si>
  <si>
    <t>47-254265-0145</t>
    <phoneticPr fontId="3"/>
  </si>
  <si>
    <t>070-7822-2032</t>
    <phoneticPr fontId="3"/>
  </si>
  <si>
    <t>充電がすぐに切れる</t>
    <phoneticPr fontId="3"/>
  </si>
  <si>
    <t>070-7822-2042</t>
    <phoneticPr fontId="3"/>
  </si>
  <si>
    <t>充電が一日もたない</t>
    <phoneticPr fontId="3"/>
  </si>
  <si>
    <t>070-7822-2043</t>
    <phoneticPr fontId="3"/>
  </si>
  <si>
    <t>47-258200-9115</t>
  </si>
  <si>
    <t>47-254265-0112</t>
    <phoneticPr fontId="3"/>
  </si>
  <si>
    <t>070-7825-4665</t>
    <phoneticPr fontId="3"/>
  </si>
  <si>
    <t>画面ひび割れ</t>
  </si>
  <si>
    <t>47-264661-3784</t>
    <phoneticPr fontId="3"/>
  </si>
  <si>
    <t>47-264661-3714</t>
    <phoneticPr fontId="3"/>
  </si>
  <si>
    <t>2022 iPad 64GB</t>
  </si>
  <si>
    <t>KCH-014の再交換分</t>
    <rPh sb="8" eb="12">
      <t>サイコウカンブン</t>
    </rPh>
    <phoneticPr fontId="3"/>
  </si>
  <si>
    <t>データ通信不可</t>
    <rPh sb="3" eb="7">
      <t>ツウシンフカ</t>
    </rPh>
    <phoneticPr fontId="3"/>
  </si>
  <si>
    <t>2024/3/21受付分：キッティングミスにより再交換実施(KCH-015)</t>
    <rPh sb="9" eb="12">
      <t>ウケツケブン</t>
    </rPh>
    <rPh sb="24" eb="27">
      <t>サイコウカン</t>
    </rPh>
    <rPh sb="27" eb="29">
      <t>ジッシ</t>
    </rPh>
    <phoneticPr fontId="3"/>
  </si>
  <si>
    <t>画面に細かいひびがあり広がっている</t>
    <phoneticPr fontId="3"/>
  </si>
  <si>
    <t>070-7825-4594</t>
    <phoneticPr fontId="3"/>
  </si>
  <si>
    <t>電源が入りません（ドコモさんと一緒にいろいろ試しましたが、入りませんでした）</t>
  </si>
  <si>
    <t>070-7822-1887</t>
    <phoneticPr fontId="3"/>
  </si>
  <si>
    <t>070-7822-1886</t>
    <phoneticPr fontId="3"/>
  </si>
  <si>
    <t>アプリ(ウェルキッズ）の通信速度が極端に遅い</t>
    <phoneticPr fontId="3"/>
  </si>
  <si>
    <t>アプリ（ウェルキッズ）の通信速度が極端に遅い</t>
  </si>
  <si>
    <t>8/1 キャンセル</t>
    <phoneticPr fontId="3"/>
  </si>
  <si>
    <t>47-267366-2650</t>
    <phoneticPr fontId="3"/>
  </si>
  <si>
    <t>47-267366-4492</t>
    <phoneticPr fontId="3"/>
  </si>
  <si>
    <t>アプリの立ち上がりが悪い
（アップデートの情報が来るとき、アップデート後　写真が立ち上がらない等）</t>
    <phoneticPr fontId="3"/>
  </si>
  <si>
    <t>47-271640-3655</t>
    <phoneticPr fontId="3"/>
  </si>
  <si>
    <t>070-7822-1878</t>
    <phoneticPr fontId="3"/>
  </si>
  <si>
    <t>連絡ボードに投稿する際、文章は投稿できるが、画像の添付が投稿できずエラーになる。</t>
    <phoneticPr fontId="3"/>
  </si>
  <si>
    <t>2021 iPad Pro 128GB</t>
    <phoneticPr fontId="3"/>
  </si>
  <si>
    <t>47-272928-7376</t>
    <phoneticPr fontId="3"/>
  </si>
  <si>
    <t>070-7822-2066</t>
    <phoneticPr fontId="3"/>
  </si>
  <si>
    <t>画面が勝手に動く、点滅する、タッチパネルが反応しにくい</t>
    <phoneticPr fontId="3"/>
  </si>
  <si>
    <t>47-272928-7645</t>
    <phoneticPr fontId="3"/>
  </si>
  <si>
    <t>070-7822-1862</t>
    <phoneticPr fontId="3"/>
  </si>
  <si>
    <t>落下し画面にひびが入っている</t>
    <phoneticPr fontId="3"/>
  </si>
  <si>
    <t>351417710541260</t>
  </si>
  <si>
    <t>47-274101-2155</t>
    <phoneticPr fontId="3"/>
  </si>
  <si>
    <t>070-7822-2061</t>
    <phoneticPr fontId="3"/>
  </si>
  <si>
    <t>フル充電してもすぐに激減し、充電しながらでないと使えない</t>
    <phoneticPr fontId="3"/>
  </si>
  <si>
    <t>47-274101-3183</t>
    <phoneticPr fontId="3"/>
  </si>
  <si>
    <t>070-7822-2220</t>
    <phoneticPr fontId="3"/>
  </si>
  <si>
    <t>電源が入らず、充電状況も不明</t>
    <phoneticPr fontId="3"/>
  </si>
  <si>
    <t>47-272551-5043</t>
    <phoneticPr fontId="3"/>
  </si>
  <si>
    <t>070-7825-4906</t>
    <phoneticPr fontId="3"/>
  </si>
  <si>
    <t>画面が割れている</t>
    <phoneticPr fontId="3"/>
  </si>
  <si>
    <t>47-274681-2440</t>
    <phoneticPr fontId="3"/>
  </si>
  <si>
    <t>070-7822-2157</t>
    <phoneticPr fontId="3"/>
  </si>
  <si>
    <t>アップデート後、重くなり、添付ファイルを開くことができない。開いたとしても時間がかかる。</t>
    <phoneticPr fontId="3"/>
  </si>
  <si>
    <t>47-274681-0266</t>
    <phoneticPr fontId="3"/>
  </si>
  <si>
    <t>070-7825-4690</t>
    <phoneticPr fontId="3"/>
  </si>
  <si>
    <t>アップデート後動きが非常に遅くなり、添付書類が貼り付けられなかったり、見られなかったりしたため</t>
    <phoneticPr fontId="3"/>
  </si>
  <si>
    <t>47-274543-0813</t>
    <phoneticPr fontId="3"/>
  </si>
  <si>
    <t>070-7822-2058</t>
    <phoneticPr fontId="3"/>
  </si>
  <si>
    <t>アップデート後も動きが遅く、添付書類が開かない</t>
    <phoneticPr fontId="3"/>
  </si>
  <si>
    <t>47-274543-0469</t>
    <phoneticPr fontId="3"/>
  </si>
  <si>
    <t>070-7822-2029</t>
    <phoneticPr fontId="3"/>
  </si>
  <si>
    <t>連絡ボード等に添付の画像が表示されない</t>
    <phoneticPr fontId="3"/>
  </si>
  <si>
    <t>47-274543-0592</t>
    <phoneticPr fontId="3"/>
  </si>
  <si>
    <t>070-7825-4773</t>
    <phoneticPr fontId="3"/>
  </si>
  <si>
    <t>070-7825-4772</t>
    <phoneticPr fontId="3"/>
  </si>
  <si>
    <t>使用していると急に電源が落ちる。</t>
    <phoneticPr fontId="3"/>
  </si>
  <si>
    <t>355948285060068</t>
  </si>
  <si>
    <t>355948289069115</t>
  </si>
  <si>
    <t>47-275973-4602</t>
    <phoneticPr fontId="3"/>
  </si>
  <si>
    <t>070-7825-4887</t>
    <phoneticPr fontId="3"/>
  </si>
  <si>
    <t>47-285479-9642</t>
    <phoneticPr fontId="3"/>
  </si>
  <si>
    <t>使用中にガチャっという音がして電源が落ち、その後電源が入らない</t>
    <rPh sb="0" eb="3">
      <t>シヨウチュウ</t>
    </rPh>
    <rPh sb="11" eb="12">
      <t>オト</t>
    </rPh>
    <rPh sb="15" eb="17">
      <t>デンゲン</t>
    </rPh>
    <rPh sb="18" eb="19">
      <t>オ</t>
    </rPh>
    <rPh sb="23" eb="24">
      <t>ゴ</t>
    </rPh>
    <rPh sb="24" eb="26">
      <t>デンゲン</t>
    </rPh>
    <rPh sb="27" eb="28">
      <t>ハイ</t>
    </rPh>
    <phoneticPr fontId="3"/>
  </si>
  <si>
    <t>11/21MDMデバイス削除完了</t>
    <rPh sb="12" eb="14">
      <t>サクジョ</t>
    </rPh>
    <rPh sb="14" eb="16">
      <t>カンリョウ</t>
    </rPh>
    <phoneticPr fontId="3"/>
  </si>
  <si>
    <t>キャンセル</t>
  </si>
  <si>
    <t>リクエストキッティング</t>
    <phoneticPr fontId="3"/>
  </si>
  <si>
    <t>MDM操作代行（プロファイル変更）</t>
    <rPh sb="3" eb="5">
      <t>ソウサ</t>
    </rPh>
    <rPh sb="5" eb="7">
      <t>ダイコウ</t>
    </rPh>
    <rPh sb="14" eb="16">
      <t>ヘンコウ</t>
    </rPh>
    <phoneticPr fontId="3"/>
  </si>
  <si>
    <t>MDM操作代行（アプリ配信）</t>
    <rPh sb="3" eb="5">
      <t>ソウサ</t>
    </rPh>
    <rPh sb="5" eb="7">
      <t>ダイコウ</t>
    </rPh>
    <rPh sb="11" eb="13">
      <t>ハイシン</t>
    </rPh>
    <phoneticPr fontId="3"/>
  </si>
  <si>
    <t>2026.3.1～</t>
    <phoneticPr fontId="3"/>
  </si>
  <si>
    <t>iPad（第9世代）</t>
  </si>
  <si>
    <t>iPad Pro（第5世代）</t>
  </si>
  <si>
    <t>iPad（A16）</t>
  </si>
  <si>
    <t>2025 11iPad 128GB</t>
    <phoneticPr fontId="3"/>
  </si>
  <si>
    <t>キャンセル</t>
    <phoneticPr fontId="3"/>
  </si>
  <si>
    <t>旧契約分</t>
    <rPh sb="0" eb="3">
      <t>キュウケイヤク</t>
    </rPh>
    <rPh sb="3" eb="4">
      <t>ブン</t>
    </rPh>
    <phoneticPr fontId="3"/>
  </si>
  <si>
    <t>070-7822-2117</t>
    <phoneticPr fontId="3"/>
  </si>
  <si>
    <t>「起動中にこのiPadで問題が起きました」と表示され、それ以上動かない</t>
    <phoneticPr fontId="3"/>
  </si>
  <si>
    <t>●●株式会社</t>
    <rPh sb="2" eb="6">
      <t>カブシキガイシャ</t>
    </rPh>
    <phoneticPr fontId="15"/>
  </si>
  <si>
    <t>001</t>
    <phoneticPr fontId="3"/>
  </si>
  <si>
    <t>002</t>
    <phoneticPr fontId="3"/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</si>
  <si>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</si>
  <si>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</si>
  <si>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</si>
  <si>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</si>
  <si>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</si>
  <si>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</si>
  <si>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</si>
  <si>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</si>
  <si>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</si>
  <si>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</si>
  <si>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</si>
  <si>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</si>
  <si>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</si>
  <si>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</si>
  <si>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</si>
  <si>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</si>
  <si>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</si>
  <si>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</si>
  <si>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</si>
  <si>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</si>
  <si>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</si>
  <si>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</si>
  <si>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</si>
  <si>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</si>
  <si>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</si>
  <si>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</si>
  <si>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</si>
  <si>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</si>
  <si>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</si>
  <si>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</si>
  <si>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</si>
  <si>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</si>
  <si>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</si>
  <si>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</si>
  <si>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</si>
  <si>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</si>
  <si>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</si>
  <si>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</si>
  <si>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</si>
  <si>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</si>
  <si>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</si>
  <si>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</si>
  <si>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</si>
  <si>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</si>
  <si>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</si>
  <si>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</si>
  <si>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</si>
  <si>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</si>
  <si>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</si>
  <si>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</si>
  <si>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</si>
  <si>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</si>
  <si>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</si>
  <si>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</si>
  <si>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</si>
  <si>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</si>
  <si>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</si>
  <si>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</si>
  <si>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</si>
  <si>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</si>
  <si>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</si>
  <si>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</si>
  <si>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</si>
  <si>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</si>
  <si>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</si>
  <si>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</si>
  <si>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</si>
  <si>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</si>
  <si>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</si>
  <si>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</si>
  <si>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</si>
  <si>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</si>
  <si>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</si>
  <si>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</si>
  <si>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</si>
  <si>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</si>
  <si>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</si>
  <si>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</si>
  <si>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</si>
  <si>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</si>
  <si>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</si>
  <si>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</si>
  <si>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</si>
  <si>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</si>
  <si>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</si>
  <si>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</si>
  <si>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</si>
  <si>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</si>
  <si>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</si>
  <si>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</si>
  <si>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</si>
  <si>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</si>
  <si>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</si>
  <si>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</si>
  <si>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</si>
  <si>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</si>
  <si>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</si>
  <si>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</si>
  <si>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</si>
  <si>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</si>
  <si>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</si>
  <si>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</si>
  <si>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</si>
  <si>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</si>
  <si>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</si>
  <si>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</si>
  <si>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</si>
  <si>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</si>
  <si>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</si>
  <si>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</si>
  <si>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</si>
  <si>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</si>
  <si>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</si>
  <si>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</si>
  <si>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</si>
  <si>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</si>
  <si>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</si>
  <si>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</si>
  <si>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</si>
  <si>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</si>
  <si>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</si>
  <si>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</si>
  <si>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</si>
  <si>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</si>
  <si>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</si>
  <si>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</si>
  <si>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</si>
  <si>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</si>
  <si>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</si>
  <si>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</si>
  <si>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</si>
  <si>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</si>
  <si>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</si>
  <si>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</si>
  <si>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</si>
  <si>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</si>
  <si>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</si>
  <si>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</si>
  <si>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</si>
  <si>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</si>
  <si>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</si>
  <si>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</si>
  <si>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</si>
  <si>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</si>
  <si>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</si>
  <si>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</si>
  <si>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</si>
  <si>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</si>
  <si>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</si>
  <si>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</si>
  <si>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</si>
  <si>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</si>
  <si>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</si>
  <si>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</si>
  <si>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</si>
  <si>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</si>
  <si>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</si>
  <si>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</si>
  <si>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</si>
  <si>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</si>
  <si>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</si>
  <si>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</si>
  <si>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</si>
  <si>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</si>
  <si>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</si>
  <si>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</si>
  <si>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</si>
  <si>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</si>
  <si>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</si>
  <si>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</si>
  <si>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</si>
  <si>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</si>
  <si>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</si>
  <si>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</si>
  <si>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</si>
  <si>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</si>
  <si>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</si>
  <si>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</si>
  <si>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</si>
  <si>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</si>
  <si>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</si>
  <si>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</si>
  <si>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</si>
  <si>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</si>
  <si>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</si>
  <si>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</si>
  <si>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</si>
  <si>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</si>
  <si>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</si>
  <si>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</si>
  <si>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</si>
  <si>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</si>
  <si>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</si>
  <si>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</si>
  <si>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</si>
  <si>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</si>
  <si>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</si>
  <si>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</si>
  <si>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</si>
  <si>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</si>
  <si>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</si>
  <si>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</si>
  <si>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</si>
  <si>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</si>
  <si>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</si>
  <si>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</si>
  <si>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</si>
  <si>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</si>
  <si>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</si>
  <si>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</si>
  <si>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</si>
  <si>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</si>
  <si>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</si>
  <si>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</si>
  <si>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</si>
  <si>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</si>
  <si>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</si>
  <si>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</si>
  <si>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</si>
  <si>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</si>
  <si>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</si>
  <si>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</si>
  <si>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</si>
  <si>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</si>
  <si>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</si>
  <si>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</si>
  <si>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</si>
  <si>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</si>
  <si>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</si>
  <si>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</si>
  <si>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</si>
  <si>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</si>
  <si>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</si>
  <si>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</si>
  <si>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</si>
  <si>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</si>
  <si>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</si>
  <si>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</si>
  <si>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</si>
  <si>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</si>
  <si>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</si>
  <si>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</si>
  <si>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</si>
  <si>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</si>
  <si>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</si>
  <si>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</si>
  <si>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</si>
  <si>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</si>
  <si>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</si>
  <si>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</si>
  <si>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</si>
  <si>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</si>
  <si>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</si>
  <si>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</si>
  <si>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</si>
  <si>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</si>
  <si>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</si>
  <si>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</si>
  <si>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</si>
  <si>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</si>
  <si>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</si>
  <si>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</si>
  <si>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</si>
  <si>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</si>
  <si>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</si>
  <si>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</si>
  <si>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</si>
  <si>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</si>
  <si>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</si>
  <si>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</si>
  <si>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</si>
  <si>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</si>
  <si>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</si>
  <si>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</si>
  <si>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</si>
  <si>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</si>
  <si>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</si>
  <si>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</si>
  <si>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</si>
  <si>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</si>
  <si>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</si>
  <si>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</si>
  <si>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</si>
  <si>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</si>
  <si>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</si>
  <si>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</si>
  <si>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</si>
  <si>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</si>
  <si>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</si>
  <si>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</si>
  <si>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</si>
  <si>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</si>
  <si>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</si>
  <si>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</si>
  <si>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</si>
  <si>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</si>
  <si>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</si>
  <si>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</si>
  <si>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</si>
  <si>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</si>
  <si>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</si>
  <si>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</si>
  <si>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</si>
  <si>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</si>
  <si>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</si>
  <si>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</si>
  <si>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</si>
  <si>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</si>
  <si>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</si>
  <si>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</si>
  <si>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</si>
  <si>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</si>
  <si>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</si>
  <si>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</si>
  <si>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</si>
  <si>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</si>
  <si>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</si>
  <si>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</si>
  <si>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</si>
  <si>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</si>
  <si>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</si>
  <si>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</si>
  <si>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</si>
  <si>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</si>
  <si>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</si>
  <si>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</si>
  <si>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</si>
  <si>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</si>
  <si>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</si>
  <si>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</si>
  <si>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</si>
  <si>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</si>
  <si>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</si>
  <si>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</si>
  <si>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</si>
  <si>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</si>
  <si>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</si>
  <si>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</si>
  <si>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</si>
  <si>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</si>
  <si>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</si>
  <si>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</si>
  <si>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</si>
  <si>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</si>
  <si>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</si>
  <si>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</si>
  <si>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</si>
  <si>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</si>
  <si>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</si>
  <si>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</si>
  <si>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</si>
  <si>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</si>
  <si>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</si>
  <si>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</si>
  <si>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</si>
  <si>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</si>
  <si>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</si>
  <si>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</si>
  <si>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</si>
  <si>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</si>
  <si>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</si>
  <si>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</si>
  <si>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</si>
  <si>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</si>
  <si>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</si>
  <si>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</si>
  <si>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</si>
  <si>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</si>
  <si>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</si>
  <si>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</si>
  <si>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</si>
  <si>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</si>
  <si>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</si>
  <si>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</si>
  <si>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</si>
  <si>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</si>
  <si>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</si>
  <si>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</si>
  <si>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</si>
  <si>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</si>
  <si>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</si>
  <si>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</si>
  <si>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</si>
  <si>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</si>
  <si>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</si>
  <si>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</si>
  <si>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</si>
  <si>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</si>
  <si>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</si>
  <si>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</si>
  <si>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</si>
  <si>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</si>
  <si>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</si>
  <si>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</si>
  <si>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</si>
  <si>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</si>
  <si>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</si>
  <si>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</si>
  <si>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</si>
  <si>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</si>
  <si>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</si>
  <si>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</si>
  <si>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</si>
  <si>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</si>
  <si>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</si>
  <si>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</si>
  <si>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</si>
  <si>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</si>
  <si>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</si>
  <si>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</si>
  <si>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</si>
  <si>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</si>
  <si>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</si>
  <si>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</si>
  <si>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</si>
  <si>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</si>
  <si>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</si>
  <si>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</si>
  <si>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</si>
  <si>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</si>
  <si>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</si>
  <si>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</si>
  <si>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</si>
  <si>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</si>
  <si>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</si>
  <si>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</si>
  <si>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</si>
  <si>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</si>
  <si>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</si>
  <si>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</si>
  <si>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</si>
  <si>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</si>
  <si>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</si>
  <si>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</si>
  <si>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</si>
  <si>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</si>
  <si>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</si>
  <si>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</si>
  <si>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</si>
  <si>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</si>
  <si>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</si>
  <si>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</si>
  <si>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</si>
  <si>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</si>
  <si>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</si>
  <si>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</si>
  <si>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</si>
  <si>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</si>
  <si>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</si>
  <si>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</si>
  <si>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</si>
  <si>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</si>
  <si>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</si>
  <si>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</si>
  <si>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</si>
  <si>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</si>
  <si>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</si>
  <si>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</si>
  <si>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</si>
  <si>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</si>
  <si>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</si>
  <si>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</si>
  <si>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</si>
  <si>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</si>
  <si>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</si>
  <si>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</si>
  <si>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</si>
  <si>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</si>
  <si>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</si>
  <si>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</si>
  <si>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</si>
  <si>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</si>
  <si>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</si>
  <si>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</si>
  <si>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</si>
  <si>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</si>
  <si>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</si>
  <si>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</si>
  <si>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</si>
  <si>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</si>
  <si>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</si>
  <si>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</si>
  <si>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</si>
  <si>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</si>
  <si>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</si>
  <si>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</si>
  <si>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</si>
  <si>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</si>
  <si>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</si>
  <si>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</si>
  <si>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</si>
  <si>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</si>
  <si>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</si>
  <si>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</si>
  <si>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</si>
  <si>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</si>
  <si>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</si>
  <si>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</si>
  <si>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●●株式会社　受付管理簿</t>
    <rPh sb="2" eb="6">
      <t>カブシキガイシャ</t>
    </rPh>
    <rPh sb="7" eb="9">
      <t>ウケツケ</t>
    </rPh>
    <rPh sb="9" eb="11">
      <t>カンリ</t>
    </rPh>
    <rPh sb="11" eb="12">
      <t>ボ</t>
    </rPh>
    <phoneticPr fontId="6"/>
  </si>
  <si>
    <t>2021 iPad 64GB</t>
    <phoneticPr fontId="3"/>
  </si>
  <si>
    <t>2021 iPad Pro 128GB</t>
    <phoneticPr fontId="3"/>
  </si>
  <si>
    <t>キャンセル
有無</t>
    <rPh sb="6" eb="8">
      <t>ウム</t>
    </rPh>
    <phoneticPr fontId="15"/>
  </si>
  <si>
    <r>
      <t xml:space="preserve">機種名/対象端末
</t>
    </r>
    <r>
      <rPr>
        <sz val="9"/>
        <color theme="1"/>
        <rFont val="メイリオ"/>
        <family val="3"/>
        <charset val="128"/>
      </rPr>
      <t>(※現在利用している機種)</t>
    </r>
    <rPh sb="0" eb="3">
      <t>キシュメイ</t>
    </rPh>
    <rPh sb="4" eb="6">
      <t>タイショウ</t>
    </rPh>
    <rPh sb="6" eb="8">
      <t>タンマツ</t>
    </rPh>
    <rPh sb="11" eb="13">
      <t>ゲンザイ</t>
    </rPh>
    <rPh sb="13" eb="15">
      <t>リヨウ</t>
    </rPh>
    <rPh sb="19" eb="21">
      <t>キシュ</t>
    </rPh>
    <phoneticPr fontId="1"/>
  </si>
  <si>
    <t>製造番号/対象端末
(※現在利用している機種)</t>
    <rPh sb="0" eb="2">
      <t>セイゾウ</t>
    </rPh>
    <rPh sb="2" eb="4">
      <t>バンゴウ</t>
    </rPh>
    <rPh sb="5" eb="7">
      <t>タイショウ</t>
    </rPh>
    <rPh sb="7" eb="9">
      <t>タンマツ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</si>
</sst>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;[Red]\-&quot;¥&quot;#,##0"/>
    <numFmt numFmtId="177" formatCode="0_);[Red]\(0\)"/>
    <numFmt numFmtId="178" formatCode="0;[Red]0"/>
    <numFmt numFmtId="179" formatCode="yyyy/m/d;@"/>
  </numFmts>
  <fonts count="2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メイリオ"/>
      <family val="3"/>
      <charset val="128"/>
    </font>
    <font>
      <sz val="6"/>
      <name val="游ゴシック"/>
      <family val="2"/>
      <charset val="128"/>
      <scheme val="minor"/>
    </font>
    <font>
      <sz val="11"/>
      <color rgb="FFFF0000"/>
      <name val="メイリオ"/>
      <family val="3"/>
      <charset val="128"/>
    </font>
    <font>
      <sz val="11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11"/>
      <color rgb="FFFF0000"/>
      <name val="メイリオ"/>
      <family val="3"/>
      <charset val="128"/>
    </font>
    <font>
      <sz val="11"/>
      <name val="メイリオ"/>
      <family val="3"/>
      <charset val="128"/>
    </font>
    <font>
      <sz val="10"/>
      <name val="メイリオ"/>
      <family val="3"/>
      <charset val="128"/>
    </font>
    <font>
      <sz val="11"/>
      <color indexed="8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0"/>
      <color indexed="8"/>
      <name val="メイリオ"/>
      <family val="3"/>
      <charset val="128"/>
    </font>
    <font>
      <b/>
      <sz val="8"/>
      <color rgb="FFFF0000"/>
      <name val="メイリオ"/>
      <family val="3"/>
      <charset val="128"/>
    </font>
    <font>
      <b/>
      <sz val="10"/>
      <color rgb="FFFF0000"/>
      <name val="メイリオ"/>
      <family val="3"/>
      <charset val="128"/>
    </font>
    <font>
      <sz val="6"/>
      <name val="メイリオ"/>
      <family val="2"/>
      <charset val="128"/>
    </font>
    <font>
      <sz val="9"/>
      <color theme="1"/>
      <name val="メイリオ"/>
      <family val="3"/>
      <charset val="128"/>
    </font>
    <font>
      <sz val="11"/>
      <color theme="1"/>
      <name val="メイリオ"/>
      <family val="2"/>
      <charset val="128"/>
    </font>
    <font>
      <sz val="12"/>
      <color theme="1"/>
      <name val="メイリオ"/>
      <family val="2"/>
      <charset val="128"/>
    </font>
    <font>
      <sz val="14"/>
      <color theme="1"/>
      <name val="メイリオ"/>
      <family val="2"/>
      <charset val="128"/>
    </font>
    <font>
      <sz val="9"/>
      <color theme="1"/>
      <name val="メイリオ"/>
      <family val="2"/>
      <charset val="128"/>
    </font>
    <font>
      <sz val="11"/>
      <color theme="1"/>
      <name val="メイリオ"/>
      <family val="3"/>
    </font>
    <font>
      <sz val="10"/>
      <color indexed="8"/>
      <name val="メイリオ"/>
      <family val="3"/>
    </font>
    <font>
      <sz val="11"/>
      <name val="メイリオ"/>
      <family val="3"/>
    </font>
    <font>
      <sz val="11"/>
      <color rgb="FFFF0000"/>
      <name val="メイリオ"/>
      <family val="3"/>
    </font>
    <font>
      <sz val="11"/>
      <color theme="0" tint="-0.34998626667073579"/>
      <name val="メイリオ"/>
      <family val="3"/>
      <charset val="128"/>
    </font>
    <font>
      <b/>
      <sz val="16"/>
      <name val="Meiryo UI"/>
      <family val="3"/>
      <charset val="128"/>
    </font>
    <font>
      <sz val="11"/>
      <color theme="0" tint="-0.14999847407452621"/>
      <name val="メイリオ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indexed="64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7" fillId="0" borderId="0">
      <alignment vertical="center"/>
    </xf>
  </cellStyleXfs>
  <cellXfs count="98">
    <xf numFmtId="0" fontId="0" fillId="0" borderId="0" xfId="0">
      <alignment vertical="center"/>
    </xf>
    <xf numFmtId="0" fontId="2" fillId="0" borderId="0" xfId="1" applyFont="1" applyProtection="1">
      <alignment vertical="center"/>
      <protection locked="0"/>
    </xf>
    <xf numFmtId="0" fontId="7" fillId="0" borderId="0" xfId="2" applyFont="1" applyAlignment="1" applyProtection="1">
      <alignment horizontal="center" vertical="center"/>
      <protection locked="0"/>
    </xf>
    <xf numFmtId="0" fontId="4" fillId="0" borderId="0" xfId="2" applyFont="1" applyAlignment="1" applyProtection="1">
      <alignment horizontal="center" vertical="center" shrinkToFit="1"/>
      <protection locked="0"/>
    </xf>
    <xf numFmtId="0" fontId="2" fillId="0" borderId="0" xfId="2" applyFont="1" applyAlignment="1" applyProtection="1">
      <alignment horizontal="center" vertical="center" shrinkToFit="1"/>
      <protection locked="0"/>
    </xf>
    <xf numFmtId="0" fontId="2" fillId="0" borderId="0" xfId="2" applyFont="1" applyProtection="1">
      <alignment vertical="center"/>
      <protection locked="0"/>
    </xf>
    <xf numFmtId="0" fontId="11" fillId="0" borderId="0" xfId="2" applyFont="1" applyAlignment="1" applyProtection="1">
      <alignment horizontal="center" vertical="center"/>
      <protection locked="0"/>
    </xf>
    <xf numFmtId="0" fontId="18" fillId="6" borderId="1" xfId="5" applyFont="1" applyFill="1" applyBorder="1" applyAlignment="1">
      <alignment horizontal="center" vertical="center"/>
    </xf>
    <xf numFmtId="0" fontId="20" fillId="0" borderId="0" xfId="5" applyFont="1">
      <alignment vertical="center"/>
    </xf>
    <xf numFmtId="0" fontId="19" fillId="0" borderId="0" xfId="5" applyFont="1">
      <alignment vertical="center"/>
    </xf>
    <xf numFmtId="0" fontId="20" fillId="6" borderId="1" xfId="5" applyFont="1" applyFill="1" applyBorder="1">
      <alignment vertical="center"/>
    </xf>
    <xf numFmtId="14" fontId="20" fillId="0" borderId="1" xfId="5" applyNumberFormat="1" applyFont="1" applyBorder="1">
      <alignment vertical="center"/>
    </xf>
    <xf numFmtId="0" fontId="20" fillId="7" borderId="1" xfId="5" applyFont="1" applyFill="1" applyBorder="1">
      <alignment vertical="center"/>
    </xf>
    <xf numFmtId="0" fontId="20" fillId="0" borderId="1" xfId="5" applyFont="1" applyBorder="1">
      <alignment vertical="center"/>
    </xf>
    <xf numFmtId="177" fontId="20" fillId="0" borderId="1" xfId="5" applyNumberFormat="1" applyFont="1" applyBorder="1">
      <alignment vertical="center"/>
    </xf>
    <xf numFmtId="0" fontId="16" fillId="0" borderId="1" xfId="5" applyFont="1" applyBorder="1" applyAlignment="1">
      <alignment horizontal="center" vertical="center"/>
    </xf>
    <xf numFmtId="178" fontId="2" fillId="0" borderId="0" xfId="2" applyNumberFormat="1" applyFont="1" applyAlignment="1" applyProtection="1">
      <alignment horizontal="center" vertical="center" shrinkToFit="1"/>
      <protection locked="0"/>
    </xf>
    <xf numFmtId="0" fontId="24" fillId="0" borderId="0" xfId="1" applyFont="1" applyProtection="1">
      <alignment vertical="center"/>
      <protection locked="0"/>
    </xf>
    <xf numFmtId="176" fontId="2" fillId="0" borderId="0" xfId="3" applyFont="1" applyBorder="1" applyAlignment="1" applyProtection="1">
      <alignment horizontal="left" vertical="center"/>
      <protection locked="0"/>
    </xf>
    <xf numFmtId="0" fontId="4" fillId="0" borderId="0" xfId="2" applyFont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center" vertical="center"/>
      <protection locked="0"/>
    </xf>
    <xf numFmtId="177" fontId="2" fillId="0" borderId="0" xfId="1" applyNumberFormat="1" applyFont="1" applyAlignment="1" applyProtection="1">
      <alignment horizontal="center" vertical="center"/>
      <protection locked="0"/>
    </xf>
    <xf numFmtId="0" fontId="20" fillId="0" borderId="0" xfId="5" applyFont="1" applyAlignment="1">
      <alignment horizontal="center" vertical="center"/>
    </xf>
    <xf numFmtId="0" fontId="20" fillId="0" borderId="1" xfId="5" applyFont="1" applyBorder="1" applyAlignment="1">
      <alignment horizontal="center" vertical="center"/>
    </xf>
    <xf numFmtId="0" fontId="20" fillId="5" borderId="1" xfId="5" applyFont="1" applyFill="1" applyBorder="1" applyAlignment="1">
      <alignment horizontal="center" vertical="center"/>
    </xf>
    <xf numFmtId="179" fontId="21" fillId="0" borderId="0" xfId="1" applyNumberFormat="1" applyFont="1" applyAlignment="1" applyProtection="1">
      <alignment horizontal="center" vertical="center"/>
      <protection locked="0"/>
    </xf>
    <xf numFmtId="179" fontId="2" fillId="0" borderId="0" xfId="1" applyNumberFormat="1" applyFont="1" applyAlignment="1" applyProtection="1">
      <alignment horizontal="center" vertical="center"/>
      <protection locked="0"/>
    </xf>
    <xf numFmtId="179" fontId="7" fillId="0" borderId="0" xfId="2" applyNumberFormat="1" applyFont="1" applyAlignment="1" applyProtection="1">
      <alignment horizontal="center" vertical="center"/>
      <protection locked="0"/>
    </xf>
    <xf numFmtId="0" fontId="8" fillId="0" borderId="0" xfId="1" applyFont="1" applyProtection="1">
      <alignment vertical="center"/>
      <protection locked="0"/>
    </xf>
    <xf numFmtId="0" fontId="2" fillId="0" borderId="0" xfId="1" applyFont="1" applyAlignment="1" applyProtection="1">
      <alignment horizontal="center" vertical="center" shrinkToFit="1"/>
      <protection locked="0"/>
    </xf>
    <xf numFmtId="178" fontId="2" fillId="0" borderId="0" xfId="1" applyNumberFormat="1" applyFont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left" vertical="center"/>
      <protection locked="0"/>
    </xf>
    <xf numFmtId="177" fontId="2" fillId="0" borderId="1" xfId="1" applyNumberFormat="1" applyFont="1" applyBorder="1" applyAlignment="1" applyProtection="1">
      <alignment horizontal="center" vertical="center"/>
      <protection locked="0"/>
    </xf>
    <xf numFmtId="179" fontId="2" fillId="0" borderId="0" xfId="2" applyNumberFormat="1" applyFont="1" applyAlignment="1" applyProtection="1">
      <alignment horizontal="center" vertical="center" shrinkToFit="1"/>
      <protection locked="0"/>
    </xf>
    <xf numFmtId="0" fontId="9" fillId="4" borderId="1" xfId="2" applyFont="1" applyFill="1" applyBorder="1" applyAlignment="1" applyProtection="1">
      <alignment horizontal="center" vertical="center" shrinkToFit="1"/>
      <protection locked="0"/>
    </xf>
    <xf numFmtId="178" fontId="9" fillId="4" borderId="1" xfId="2" applyNumberFormat="1" applyFont="1" applyFill="1" applyBorder="1" applyAlignment="1" applyProtection="1">
      <alignment horizontal="center" vertical="center" shrinkToFit="1"/>
      <protection locked="0"/>
    </xf>
    <xf numFmtId="0" fontId="9" fillId="3" borderId="6" xfId="2" applyFont="1" applyFill="1" applyBorder="1" applyAlignment="1" applyProtection="1">
      <alignment horizontal="centerContinuous" vertical="center"/>
      <protection locked="0"/>
    </xf>
    <xf numFmtId="0" fontId="8" fillId="3" borderId="9" xfId="2" applyFont="1" applyFill="1" applyBorder="1" applyAlignment="1" applyProtection="1">
      <alignment horizontal="centerContinuous" vertical="center"/>
      <protection locked="0"/>
    </xf>
    <xf numFmtId="179" fontId="21" fillId="8" borderId="1" xfId="1" applyNumberFormat="1" applyFont="1" applyFill="1" applyBorder="1" applyAlignment="1" applyProtection="1">
      <alignment horizontal="center" vertical="center"/>
      <protection locked="0"/>
    </xf>
    <xf numFmtId="56" fontId="2" fillId="8" borderId="1" xfId="1" applyNumberFormat="1" applyFont="1" applyFill="1" applyBorder="1" applyAlignment="1" applyProtection="1">
      <alignment horizontal="center" vertical="center" wrapText="1"/>
      <protection locked="0"/>
    </xf>
    <xf numFmtId="0" fontId="2" fillId="8" borderId="1" xfId="1" applyFont="1" applyFill="1" applyBorder="1" applyAlignment="1" applyProtection="1">
      <alignment horizontal="center" vertical="center"/>
      <protection locked="0"/>
    </xf>
    <xf numFmtId="0" fontId="2" fillId="8" borderId="1" xfId="1" quotePrefix="1" applyFont="1" applyFill="1" applyBorder="1" applyAlignment="1" applyProtection="1">
      <alignment horizontal="center" vertical="center"/>
      <protection locked="0"/>
    </xf>
    <xf numFmtId="179" fontId="2" fillId="8" borderId="1" xfId="1" applyNumberFormat="1" applyFont="1" applyFill="1" applyBorder="1" applyAlignment="1" applyProtection="1">
      <alignment horizontal="center" vertical="center"/>
      <protection locked="0"/>
    </xf>
    <xf numFmtId="177" fontId="2" fillId="8" borderId="1" xfId="1" applyNumberFormat="1" applyFont="1" applyFill="1" applyBorder="1" applyAlignment="1" applyProtection="1">
      <alignment horizontal="center" vertical="center"/>
      <protection locked="0"/>
    </xf>
    <xf numFmtId="0" fontId="8" fillId="8" borderId="1" xfId="1" applyFont="1" applyFill="1" applyBorder="1" applyProtection="1">
      <alignment vertical="center"/>
      <protection locked="0"/>
    </xf>
    <xf numFmtId="0" fontId="2" fillId="8" borderId="1" xfId="1" applyFont="1" applyFill="1" applyBorder="1" applyAlignment="1" applyProtection="1">
      <alignment horizontal="left" vertical="center" shrinkToFit="1"/>
      <protection locked="0"/>
    </xf>
    <xf numFmtId="0" fontId="2" fillId="8" borderId="1" xfId="1" applyFont="1" applyFill="1" applyBorder="1" applyProtection="1">
      <alignment vertical="center"/>
      <protection locked="0"/>
    </xf>
    <xf numFmtId="178" fontId="2" fillId="8" borderId="1" xfId="1" applyNumberFormat="1" applyFont="1" applyFill="1" applyBorder="1" applyAlignment="1" applyProtection="1">
      <alignment horizontal="center" vertical="center"/>
      <protection locked="0"/>
    </xf>
    <xf numFmtId="56" fontId="2" fillId="8" borderId="1" xfId="1" applyNumberFormat="1" applyFont="1" applyFill="1" applyBorder="1" applyAlignment="1" applyProtection="1">
      <alignment horizontal="center" vertical="center"/>
      <protection locked="0"/>
    </xf>
    <xf numFmtId="178" fontId="21" fillId="8" borderId="1" xfId="1" applyNumberFormat="1" applyFont="1" applyFill="1" applyBorder="1" applyAlignment="1" applyProtection="1">
      <alignment horizontal="center" vertical="center"/>
      <protection locked="0"/>
    </xf>
    <xf numFmtId="0" fontId="2" fillId="8" borderId="1" xfId="1" applyFont="1" applyFill="1" applyBorder="1" applyAlignment="1" applyProtection="1">
      <alignment horizontal="left" vertical="center" wrapText="1" shrinkToFit="1"/>
      <protection locked="0"/>
    </xf>
    <xf numFmtId="179" fontId="4" fillId="8" borderId="1" xfId="1" applyNumberFormat="1" applyFont="1" applyFill="1" applyBorder="1" applyAlignment="1" applyProtection="1">
      <alignment horizontal="center" vertical="center"/>
      <protection locked="0"/>
    </xf>
    <xf numFmtId="0" fontId="4" fillId="8" borderId="1" xfId="1" applyFont="1" applyFill="1" applyBorder="1" applyAlignment="1" applyProtection="1">
      <alignment horizontal="center" vertical="center"/>
      <protection locked="0"/>
    </xf>
    <xf numFmtId="177" fontId="4" fillId="8" borderId="1" xfId="1" applyNumberFormat="1" applyFont="1" applyFill="1" applyBorder="1" applyAlignment="1" applyProtection="1">
      <alignment horizontal="center" vertical="center"/>
      <protection locked="0"/>
    </xf>
    <xf numFmtId="0" fontId="4" fillId="8" borderId="1" xfId="1" applyFont="1" applyFill="1" applyBorder="1" applyProtection="1">
      <alignment vertical="center"/>
      <protection locked="0"/>
    </xf>
    <xf numFmtId="0" fontId="4" fillId="8" borderId="1" xfId="1" applyFont="1" applyFill="1" applyBorder="1" applyAlignment="1" applyProtection="1">
      <alignment horizontal="left" vertical="center" shrinkToFit="1"/>
      <protection locked="0"/>
    </xf>
    <xf numFmtId="178" fontId="4" fillId="8" borderId="1" xfId="1" applyNumberFormat="1" applyFont="1" applyFill="1" applyBorder="1" applyAlignment="1" applyProtection="1">
      <alignment horizontal="center" vertical="center"/>
      <protection locked="0"/>
    </xf>
    <xf numFmtId="0" fontId="23" fillId="8" borderId="1" xfId="1" applyFont="1" applyFill="1" applyBorder="1" applyProtection="1">
      <alignment vertical="center"/>
      <protection locked="0"/>
    </xf>
    <xf numFmtId="179" fontId="21" fillId="0" borderId="1" xfId="1" applyNumberFormat="1" applyFont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79" fontId="2" fillId="0" borderId="1" xfId="1" applyNumberFormat="1" applyFont="1" applyBorder="1" applyAlignment="1" applyProtection="1">
      <alignment horizontal="center" vertical="center"/>
      <protection locked="0"/>
    </xf>
    <xf numFmtId="0" fontId="8" fillId="0" borderId="1" xfId="1" applyFont="1" applyBorder="1" applyProtection="1">
      <alignment vertical="center"/>
      <protection locked="0"/>
    </xf>
    <xf numFmtId="0" fontId="2" fillId="0" borderId="1" xfId="1" applyFont="1" applyBorder="1" applyAlignment="1" applyProtection="1">
      <alignment horizontal="left" vertical="center" shrinkToFit="1"/>
      <protection locked="0"/>
    </xf>
    <xf numFmtId="0" fontId="2" fillId="0" borderId="1" xfId="1" applyFont="1" applyBorder="1" applyProtection="1">
      <alignment vertical="center"/>
      <protection locked="0"/>
    </xf>
    <xf numFmtId="178" fontId="2" fillId="0" borderId="1" xfId="1" applyNumberFormat="1" applyFont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 shrinkToFit="1"/>
      <protection locked="0"/>
    </xf>
    <xf numFmtId="0" fontId="25" fillId="0" borderId="0" xfId="1" applyFont="1" applyProtection="1">
      <alignment vertical="center"/>
      <protection locked="0"/>
    </xf>
    <xf numFmtId="0" fontId="26" fillId="0" borderId="0" xfId="2" applyFont="1" applyAlignment="1" applyProtection="1">
      <alignment horizontal="left" vertical="center"/>
      <protection locked="0"/>
    </xf>
    <xf numFmtId="0" fontId="27" fillId="0" borderId="0" xfId="1" applyFont="1" applyAlignment="1" applyProtection="1">
      <alignment horizontal="center" vertical="center"/>
      <protection locked="0"/>
    </xf>
    <xf numFmtId="49" fontId="2" fillId="8" borderId="14" xfId="1" applyNumberFormat="1" applyFont="1" applyFill="1" applyBorder="1" applyAlignment="1" applyProtection="1">
      <alignment horizontal="center" vertical="center"/>
      <protection locked="0"/>
    </xf>
    <xf numFmtId="49" fontId="2" fillId="0" borderId="14" xfId="1" applyNumberFormat="1" applyFont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left" vertical="center"/>
      <protection locked="0"/>
    </xf>
    <xf numFmtId="0" fontId="2" fillId="0" borderId="18" xfId="1" applyFont="1" applyBorder="1" applyAlignment="1" applyProtection="1">
      <alignment horizontal="left" vertical="center"/>
      <protection locked="0"/>
    </xf>
    <xf numFmtId="0" fontId="2" fillId="8" borderId="1" xfId="1" applyFont="1" applyFill="1" applyBorder="1" applyAlignment="1" applyProtection="1">
      <alignment horizontal="left" vertical="center"/>
      <protection locked="0"/>
    </xf>
    <xf numFmtId="0" fontId="2" fillId="8" borderId="18" xfId="1" applyFont="1" applyFill="1" applyBorder="1" applyAlignment="1" applyProtection="1">
      <alignment horizontal="left" vertical="center"/>
      <protection locked="0"/>
    </xf>
    <xf numFmtId="0" fontId="4" fillId="8" borderId="1" xfId="1" applyFont="1" applyFill="1" applyBorder="1" applyAlignment="1" applyProtection="1">
      <alignment horizontal="left" vertical="center"/>
      <protection locked="0"/>
    </xf>
    <xf numFmtId="0" fontId="4" fillId="8" borderId="18" xfId="1" applyFont="1" applyFill="1" applyBorder="1" applyAlignment="1" applyProtection="1">
      <alignment horizontal="left" vertical="center"/>
      <protection locked="0"/>
    </xf>
    <xf numFmtId="176" fontId="12" fillId="0" borderId="7" xfId="3" applyFont="1" applyFill="1" applyBorder="1" applyAlignment="1" applyProtection="1">
      <alignment horizontal="center" vertical="center" shrinkToFit="1"/>
      <protection locked="0"/>
    </xf>
    <xf numFmtId="176" fontId="12" fillId="0" borderId="8" xfId="3" applyFont="1" applyFill="1" applyBorder="1" applyAlignment="1" applyProtection="1">
      <alignment horizontal="center" vertical="center" shrinkToFit="1"/>
      <protection locked="0"/>
    </xf>
    <xf numFmtId="176" fontId="12" fillId="0" borderId="16" xfId="3" applyFont="1" applyFill="1" applyBorder="1" applyAlignment="1" applyProtection="1">
      <alignment horizontal="center" vertical="center" shrinkToFit="1"/>
      <protection locked="0"/>
    </xf>
    <xf numFmtId="176" fontId="12" fillId="0" borderId="17" xfId="3" applyFont="1" applyFill="1" applyBorder="1" applyAlignment="1" applyProtection="1">
      <alignment horizontal="center" vertical="center" shrinkToFit="1"/>
      <protection locked="0"/>
    </xf>
    <xf numFmtId="0" fontId="2" fillId="8" borderId="1" xfId="1" applyFont="1" applyFill="1" applyBorder="1" applyAlignment="1" applyProtection="1">
      <alignment horizontal="left" vertical="center" wrapText="1"/>
      <protection locked="0"/>
    </xf>
    <xf numFmtId="0" fontId="12" fillId="2" borderId="2" xfId="2" applyFont="1" applyFill="1" applyBorder="1" applyAlignment="1" applyProtection="1">
      <alignment horizontal="center" vertical="center" wrapText="1"/>
      <protection locked="0"/>
    </xf>
    <xf numFmtId="0" fontId="2" fillId="2" borderId="10" xfId="2" applyFont="1" applyFill="1" applyBorder="1" applyAlignment="1" applyProtection="1">
      <alignment horizontal="center" vertical="center" wrapText="1"/>
      <protection locked="0"/>
    </xf>
    <xf numFmtId="179" fontId="22" fillId="2" borderId="2" xfId="2" applyNumberFormat="1" applyFont="1" applyFill="1" applyBorder="1" applyAlignment="1" applyProtection="1">
      <alignment horizontal="center" vertical="center" wrapText="1"/>
      <protection locked="0"/>
    </xf>
    <xf numFmtId="179" fontId="21" fillId="2" borderId="10" xfId="2" applyNumberFormat="1" applyFont="1" applyFill="1" applyBorder="1" applyAlignment="1" applyProtection="1">
      <alignment horizontal="center" vertical="center" wrapText="1"/>
      <protection locked="0"/>
    </xf>
    <xf numFmtId="0" fontId="14" fillId="2" borderId="3" xfId="2" applyFont="1" applyFill="1" applyBorder="1" applyAlignment="1" applyProtection="1">
      <alignment horizontal="center" vertical="center" wrapText="1"/>
      <protection locked="0"/>
    </xf>
    <xf numFmtId="0" fontId="13" fillId="2" borderId="11" xfId="2" applyFont="1" applyFill="1" applyBorder="1" applyAlignment="1" applyProtection="1">
      <alignment horizontal="center" vertical="center"/>
      <protection locked="0"/>
    </xf>
    <xf numFmtId="0" fontId="12" fillId="2" borderId="3" xfId="2" applyFont="1" applyFill="1" applyBorder="1" applyAlignment="1" applyProtection="1">
      <alignment horizontal="center" vertical="center"/>
      <protection locked="0"/>
    </xf>
    <xf numFmtId="0" fontId="2" fillId="2" borderId="11" xfId="2" applyFont="1" applyFill="1" applyBorder="1" applyAlignment="1" applyProtection="1">
      <alignment horizontal="center" vertical="center"/>
      <protection locked="0"/>
    </xf>
    <xf numFmtId="0" fontId="12" fillId="2" borderId="4" xfId="2" applyFont="1" applyFill="1" applyBorder="1" applyAlignment="1" applyProtection="1">
      <alignment horizontal="center" vertical="center"/>
      <protection locked="0"/>
    </xf>
    <xf numFmtId="0" fontId="2" fillId="2" borderId="12" xfId="2" applyFont="1" applyFill="1" applyBorder="1" applyAlignment="1" applyProtection="1">
      <alignment horizontal="center" vertical="center"/>
      <protection locked="0"/>
    </xf>
    <xf numFmtId="179" fontId="12" fillId="2" borderId="4" xfId="2" applyNumberFormat="1" applyFont="1" applyFill="1" applyBorder="1" applyAlignment="1" applyProtection="1">
      <alignment horizontal="center" vertical="center"/>
      <protection locked="0"/>
    </xf>
    <xf numFmtId="179" fontId="2" fillId="2" borderId="12" xfId="2" applyNumberFormat="1" applyFont="1" applyFill="1" applyBorder="1" applyAlignment="1" applyProtection="1">
      <alignment horizontal="center" vertical="center"/>
      <protection locked="0"/>
    </xf>
    <xf numFmtId="179" fontId="12" fillId="2" borderId="5" xfId="2" applyNumberFormat="1" applyFont="1" applyFill="1" applyBorder="1" applyAlignment="1" applyProtection="1">
      <alignment horizontal="center" vertical="center"/>
      <protection locked="0"/>
    </xf>
    <xf numFmtId="179" fontId="2" fillId="2" borderId="13" xfId="2" applyNumberFormat="1" applyFont="1" applyFill="1" applyBorder="1" applyAlignment="1" applyProtection="1">
      <alignment horizontal="center" vertical="center"/>
      <protection locked="0"/>
    </xf>
    <xf numFmtId="0" fontId="19" fillId="0" borderId="1" xfId="5" applyFont="1" applyBorder="1" applyAlignment="1">
      <alignment horizontal="center" vertical="center"/>
    </xf>
    <xf numFmtId="0" fontId="9" fillId="4" borderId="15" xfId="2" applyFont="1" applyFill="1" applyBorder="1" applyAlignment="1" applyProtection="1">
      <alignment horizontal="center" vertical="center" wrapText="1" shrinkToFit="1"/>
      <protection locked="0"/>
    </xf>
  </cellXfs>
  <cellStyles count="6">
    <cellStyle name="通貨 11" xfId="3" xr:uid="{00000000-0005-0000-0000-000000000000}"/>
    <cellStyle name="標準" xfId="0" builtinId="0"/>
    <cellStyle name="標準 2 2" xfId="4" xr:uid="{00000000-0005-0000-0000-000002000000}"/>
    <cellStyle name="標準 3 3" xfId="2" xr:uid="{00000000-0005-0000-0000-000003000000}"/>
    <cellStyle name="標準 5" xfId="1" xr:uid="{00000000-0005-0000-0000-000004000000}"/>
    <cellStyle name="標準 7" xfId="5" xr:uid="{00000000-0005-0000-0000-000005000000}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S506"/>
  <sheetViews>
    <sheetView showGridLines="0" tabSelected="1" zoomScale="85" zoomScaleNormal="85" zoomScaleSheetLayoutView="100" workbookViewId="0">
      <pane xSplit="3" ySplit="6" topLeftCell="K7" activePane="bottomRight" state="frozen"/>
      <selection pane="topRight" activeCell="F15" sqref="F15"/>
      <selection pane="bottomLeft" activeCell="F15" sqref="F15"/>
      <selection pane="bottomRight" activeCell="L6" sqref="L6"/>
    </sheetView>
  </sheetViews>
  <sheetFormatPr defaultColWidth="9" defaultRowHeight="17.5" x14ac:dyDescent="0.55000000000000004"/>
  <cols>
    <col min="1" max="1" width="9.83203125" style="1" hidden="1" customWidth="1"/>
    <col min="2" max="2" width="5" style="1" customWidth="1"/>
    <col min="3" max="3" width="12.5" style="20" customWidth="1"/>
    <col min="4" max="4" width="17" style="25" bestFit="1" customWidth="1"/>
    <col min="5" max="5" width="12" style="20" customWidth="1"/>
    <col min="6" max="6" width="16.5" style="20" bestFit="1" customWidth="1"/>
    <col min="7" max="7" width="32.33203125" style="20" customWidth="1"/>
    <col min="8" max="8" width="12.75" style="26" bestFit="1" customWidth="1"/>
    <col min="9" max="9" width="21.83203125" style="21" bestFit="1" customWidth="1"/>
    <col min="10" max="10" width="12.75" style="26" bestFit="1" customWidth="1"/>
    <col min="11" max="11" width="20.33203125" style="28" customWidth="1"/>
    <col min="12" max="12" width="22.33203125" style="21" customWidth="1"/>
    <col min="13" max="13" width="37.58203125" style="29" customWidth="1"/>
    <col min="14" max="14" width="20.08203125" style="1" customWidth="1"/>
    <col min="15" max="15" width="18.58203125" style="30" customWidth="1"/>
    <col min="16" max="16" width="33" style="31" bestFit="1" customWidth="1"/>
    <col min="17" max="17" width="22.83203125" style="31" customWidth="1"/>
    <col min="18" max="18" width="15.33203125" style="1" customWidth="1"/>
    <col min="19" max="19" width="13.25" style="1" hidden="1" customWidth="1"/>
    <col min="20" max="20" width="10.25" style="1" bestFit="1" customWidth="1"/>
    <col min="21" max="21" width="11.5" style="1" bestFit="1" customWidth="1"/>
    <col min="22" max="16384" width="9" style="1"/>
  </cols>
  <sheetData>
    <row r="1" spans="1:19" s="68" customFormat="1" ht="15" customHeight="1" x14ac:dyDescent="0.55000000000000004">
      <c r="A1" s="68">
        <v>1</v>
      </c>
      <c r="B1" s="68">
        <v>2</v>
      </c>
      <c r="C1" s="68">
        <v>3</v>
      </c>
      <c r="D1" s="68">
        <v>4</v>
      </c>
      <c r="E1" s="68">
        <v>5</v>
      </c>
      <c r="F1" s="68">
        <v>7</v>
      </c>
      <c r="G1" s="68">
        <v>8</v>
      </c>
      <c r="H1" s="68">
        <v>9</v>
      </c>
      <c r="I1" s="68">
        <v>10</v>
      </c>
      <c r="J1" s="68">
        <v>11</v>
      </c>
      <c r="K1" s="68">
        <v>13</v>
      </c>
      <c r="L1" s="68">
        <v>14</v>
      </c>
      <c r="M1" s="68">
        <v>15</v>
      </c>
      <c r="N1" s="68">
        <v>16</v>
      </c>
      <c r="O1" s="68">
        <v>17</v>
      </c>
      <c r="P1" s="68">
        <v>20</v>
      </c>
      <c r="Q1" s="68">
        <v>21</v>
      </c>
    </row>
    <row r="2" spans="1:19" ht="41.25" customHeight="1" x14ac:dyDescent="0.55000000000000004">
      <c r="C2" s="67" t="s">
        <v>646</v>
      </c>
      <c r="E2" s="2"/>
      <c r="F2" s="2"/>
      <c r="G2" s="4"/>
      <c r="H2" s="3"/>
      <c r="I2" s="4"/>
      <c r="J2" s="16"/>
      <c r="K2" s="33"/>
      <c r="L2" s="18"/>
      <c r="M2" s="18"/>
      <c r="N2" s="5"/>
      <c r="O2" s="5"/>
      <c r="P2" s="1"/>
      <c r="Q2" s="1"/>
    </row>
    <row r="3" spans="1:19" ht="15" customHeight="1" x14ac:dyDescent="0.55000000000000004">
      <c r="C3" s="6"/>
      <c r="E3" s="2"/>
      <c r="F3" s="2"/>
      <c r="G3" s="19"/>
      <c r="I3" s="19"/>
      <c r="J3" s="27"/>
      <c r="K3" s="1"/>
      <c r="L3" s="4"/>
      <c r="M3" s="3"/>
      <c r="N3" s="4"/>
      <c r="O3" s="16"/>
      <c r="P3" s="18"/>
      <c r="Q3" s="18"/>
      <c r="R3" s="5"/>
      <c r="S3" s="5"/>
    </row>
    <row r="4" spans="1:19" ht="15" customHeight="1" thickBot="1" x14ac:dyDescent="0.6">
      <c r="C4" s="6"/>
      <c r="E4" s="2"/>
      <c r="F4" s="2"/>
      <c r="G4" s="2"/>
      <c r="I4" s="2"/>
      <c r="J4" s="27"/>
      <c r="K4" s="1"/>
      <c r="L4" s="4"/>
      <c r="M4" s="3"/>
      <c r="N4" s="4"/>
      <c r="O4" s="16"/>
      <c r="P4" s="18"/>
      <c r="Q4" s="18"/>
      <c r="R4" s="5"/>
      <c r="S4" s="5"/>
    </row>
    <row r="5" spans="1:19" ht="20.25" customHeight="1" x14ac:dyDescent="0.55000000000000004">
      <c r="C5" s="82" t="s">
        <v>0</v>
      </c>
      <c r="D5" s="84" t="s">
        <v>1</v>
      </c>
      <c r="E5" s="86" t="s">
        <v>649</v>
      </c>
      <c r="F5" s="88" t="s">
        <v>2</v>
      </c>
      <c r="G5" s="90" t="s">
        <v>3</v>
      </c>
      <c r="H5" s="92" t="s">
        <v>4</v>
      </c>
      <c r="I5" s="88" t="s">
        <v>5</v>
      </c>
      <c r="J5" s="94" t="s">
        <v>6</v>
      </c>
      <c r="K5" s="36"/>
      <c r="L5" s="36"/>
      <c r="M5" s="37"/>
      <c r="N5" s="37"/>
      <c r="O5" s="37"/>
      <c r="P5" s="77" t="s">
        <v>7</v>
      </c>
      <c r="Q5" s="78"/>
    </row>
    <row r="6" spans="1:19" ht="56.25" customHeight="1" x14ac:dyDescent="0.55000000000000004">
      <c r="C6" s="83"/>
      <c r="D6" s="85"/>
      <c r="E6" s="87"/>
      <c r="F6" s="89"/>
      <c r="G6" s="91"/>
      <c r="H6" s="93"/>
      <c r="I6" s="89"/>
      <c r="J6" s="95"/>
      <c r="K6" s="97" t="s">
        <v>650</v>
      </c>
      <c r="L6" s="97" t="s">
        <v>651</v>
      </c>
      <c r="M6" s="34" t="s">
        <v>8</v>
      </c>
      <c r="N6" s="34" t="s">
        <v>9</v>
      </c>
      <c r="O6" s="35" t="s">
        <v>10</v>
      </c>
      <c r="P6" s="79"/>
      <c r="Q6" s="80"/>
    </row>
    <row r="7" spans="1:19" x14ac:dyDescent="0.55000000000000004">
      <c r="A7" s="1" t="e">
        <f>IF(#REF!="","",#REF!)</f>
        <v>#REF!</v>
      </c>
      <c r="C7" s="69" t="s">
        <v>146</v>
      </c>
      <c r="D7" s="38">
        <v>44846</v>
      </c>
      <c r="E7" s="39"/>
      <c r="F7" s="41" t="s">
        <v>11</v>
      </c>
      <c r="G7" s="40" t="s">
        <v>12</v>
      </c>
      <c r="H7" s="42">
        <v>44858</v>
      </c>
      <c r="I7" s="43" t="s">
        <v>13</v>
      </c>
      <c r="J7" s="42">
        <v>44859</v>
      </c>
      <c r="K7" s="44" t="s">
        <v>647</v>
      </c>
      <c r="L7" s="43">
        <v>358609372514741</v>
      </c>
      <c r="M7" s="45" t="s">
        <v>15</v>
      </c>
      <c r="N7" s="46" t="s">
        <v>14</v>
      </c>
      <c r="O7" s="47">
        <v>358233414080684</v>
      </c>
      <c r="P7" s="81"/>
      <c r="Q7" s="74"/>
      <c r="R7" s="66" t="s">
        <v>142</v>
      </c>
      <c r="S7" s="1" t="str">
        <f t="shared" ref="S7:S38" si="0">IF(E7="キャンセル","",IF(G7="故障","A",IF(G7="紛失・盗難","A",IF(G7="キッティング","A","B"))))</f>
        <v>A</v>
      </c>
    </row>
    <row r="8" spans="1:19" ht="17.25" customHeight="1" x14ac:dyDescent="0.55000000000000004">
      <c r="A8" s="1" t="e">
        <f>IF(#REF!="","",#REF!)</f>
        <v>#REF!</v>
      </c>
      <c r="C8" s="69" t="s">
        <v>147</v>
      </c>
      <c r="D8" s="38">
        <v>44963</v>
      </c>
      <c r="E8" s="48"/>
      <c r="F8" s="40" t="s">
        <v>16</v>
      </c>
      <c r="G8" s="40" t="s">
        <v>12</v>
      </c>
      <c r="H8" s="42">
        <v>44967</v>
      </c>
      <c r="I8" s="43" t="s">
        <v>17</v>
      </c>
      <c r="J8" s="42">
        <v>44967</v>
      </c>
      <c r="K8" s="44" t="s">
        <v>14</v>
      </c>
      <c r="L8" s="43">
        <v>355669672261503</v>
      </c>
      <c r="M8" s="45" t="s">
        <v>18</v>
      </c>
      <c r="N8" s="46" t="s">
        <v>14</v>
      </c>
      <c r="O8" s="47">
        <v>358233414699830</v>
      </c>
      <c r="P8" s="73"/>
      <c r="Q8" s="74"/>
      <c r="R8" s="66" t="s">
        <v>142</v>
      </c>
      <c r="S8" s="1" t="str">
        <f t="shared" si="0"/>
        <v>A</v>
      </c>
    </row>
    <row r="9" spans="1:19" x14ac:dyDescent="0.55000000000000004">
      <c r="A9" s="1" t="e">
        <f>IF(#REF!="","",#REF!)</f>
        <v>#REF!</v>
      </c>
      <c r="C9" s="69" t="s">
        <v>148</v>
      </c>
      <c r="D9" s="38">
        <v>44991</v>
      </c>
      <c r="E9" s="48"/>
      <c r="F9" s="40" t="s">
        <v>19</v>
      </c>
      <c r="G9" s="40" t="s">
        <v>12</v>
      </c>
      <c r="H9" s="42">
        <v>44992</v>
      </c>
      <c r="I9" s="43" t="s">
        <v>20</v>
      </c>
      <c r="J9" s="42">
        <v>44992</v>
      </c>
      <c r="K9" s="44" t="s">
        <v>21</v>
      </c>
      <c r="L9" s="43">
        <v>359418740010476</v>
      </c>
      <c r="M9" s="45" t="s">
        <v>22</v>
      </c>
      <c r="N9" s="44" t="s">
        <v>21</v>
      </c>
      <c r="O9" s="47">
        <v>359418748702272</v>
      </c>
      <c r="P9" s="73"/>
      <c r="Q9" s="74"/>
      <c r="R9" s="66" t="s">
        <v>142</v>
      </c>
      <c r="S9" s="1" t="str">
        <f t="shared" si="0"/>
        <v>A</v>
      </c>
    </row>
    <row r="10" spans="1:19" x14ac:dyDescent="0.55000000000000004">
      <c r="A10" s="1" t="e">
        <f>IF(#REF!="","",#REF!)</f>
        <v>#REF!</v>
      </c>
      <c r="C10" s="69" t="s">
        <v>149</v>
      </c>
      <c r="D10" s="38">
        <v>45000</v>
      </c>
      <c r="E10" s="48"/>
      <c r="F10" s="40" t="s">
        <v>23</v>
      </c>
      <c r="G10" s="40" t="s">
        <v>12</v>
      </c>
      <c r="H10" s="42">
        <v>45002</v>
      </c>
      <c r="I10" s="43" t="s">
        <v>24</v>
      </c>
      <c r="J10" s="42">
        <v>45002</v>
      </c>
      <c r="K10" s="44" t="s">
        <v>14</v>
      </c>
      <c r="L10" s="43">
        <v>358609372499083</v>
      </c>
      <c r="M10" s="45" t="s">
        <v>25</v>
      </c>
      <c r="N10" s="46" t="s">
        <v>14</v>
      </c>
      <c r="O10" s="47">
        <v>358233414777412</v>
      </c>
      <c r="P10" s="73"/>
      <c r="Q10" s="74"/>
      <c r="R10" s="66" t="s">
        <v>142</v>
      </c>
      <c r="S10" s="1" t="str">
        <f t="shared" si="0"/>
        <v>A</v>
      </c>
    </row>
    <row r="11" spans="1:19" x14ac:dyDescent="0.55000000000000004">
      <c r="A11" s="1" t="e">
        <f>IF(#REF!="","",#REF!)</f>
        <v>#REF!</v>
      </c>
      <c r="C11" s="69" t="s">
        <v>150</v>
      </c>
      <c r="D11" s="38">
        <v>45015</v>
      </c>
      <c r="E11" s="48"/>
      <c r="F11" s="40" t="s">
        <v>26</v>
      </c>
      <c r="G11" s="40" t="s">
        <v>12</v>
      </c>
      <c r="H11" s="42">
        <v>45016</v>
      </c>
      <c r="I11" s="43" t="s">
        <v>48</v>
      </c>
      <c r="J11" s="42">
        <v>45016</v>
      </c>
      <c r="K11" s="44" t="s">
        <v>14</v>
      </c>
      <c r="L11" s="43">
        <v>358609372045035</v>
      </c>
      <c r="M11" s="45" t="s">
        <v>27</v>
      </c>
      <c r="N11" s="46" t="s">
        <v>14</v>
      </c>
      <c r="O11" s="47">
        <v>358233414739941</v>
      </c>
      <c r="P11" s="73"/>
      <c r="Q11" s="74"/>
      <c r="R11" s="66" t="s">
        <v>142</v>
      </c>
      <c r="S11" s="1" t="str">
        <f t="shared" si="0"/>
        <v>A</v>
      </c>
    </row>
    <row r="12" spans="1:19" x14ac:dyDescent="0.55000000000000004">
      <c r="A12" s="1" t="e">
        <f>IF(#REF!="","",#REF!)</f>
        <v>#REF!</v>
      </c>
      <c r="C12" s="69" t="s">
        <v>151</v>
      </c>
      <c r="D12" s="38">
        <v>45016</v>
      </c>
      <c r="E12" s="48"/>
      <c r="F12" s="40" t="s">
        <v>50</v>
      </c>
      <c r="G12" s="40" t="s">
        <v>12</v>
      </c>
      <c r="H12" s="42">
        <v>45020</v>
      </c>
      <c r="I12" s="43" t="s">
        <v>49</v>
      </c>
      <c r="J12" s="42">
        <v>45020</v>
      </c>
      <c r="K12" s="44" t="s">
        <v>21</v>
      </c>
      <c r="L12" s="43">
        <v>359418740526315</v>
      </c>
      <c r="M12" s="45" t="s">
        <v>28</v>
      </c>
      <c r="N12" s="44" t="s">
        <v>21</v>
      </c>
      <c r="O12" s="47">
        <v>351417710265845</v>
      </c>
      <c r="P12" s="73"/>
      <c r="Q12" s="74"/>
      <c r="R12" s="66" t="s">
        <v>142</v>
      </c>
      <c r="S12" s="1" t="str">
        <f t="shared" si="0"/>
        <v>A</v>
      </c>
    </row>
    <row r="13" spans="1:19" x14ac:dyDescent="0.55000000000000004">
      <c r="A13" s="1" t="e">
        <f>IF(#REF!="","",#REF!)</f>
        <v>#REF!</v>
      </c>
      <c r="C13" s="69" t="s">
        <v>152</v>
      </c>
      <c r="D13" s="38">
        <v>45072</v>
      </c>
      <c r="E13" s="40"/>
      <c r="F13" s="40" t="s">
        <v>51</v>
      </c>
      <c r="G13" s="40" t="s">
        <v>12</v>
      </c>
      <c r="H13" s="42">
        <v>45105</v>
      </c>
      <c r="I13" s="43" t="s">
        <v>53</v>
      </c>
      <c r="J13" s="42">
        <v>45105</v>
      </c>
      <c r="K13" s="44" t="s">
        <v>14</v>
      </c>
      <c r="L13" s="43">
        <v>358609372790838</v>
      </c>
      <c r="M13" s="45" t="s">
        <v>52</v>
      </c>
      <c r="N13" s="46" t="s">
        <v>14</v>
      </c>
      <c r="O13" s="47">
        <v>355818727710283</v>
      </c>
      <c r="P13" s="73"/>
      <c r="Q13" s="74"/>
      <c r="R13" s="66" t="s">
        <v>142</v>
      </c>
      <c r="S13" s="1" t="str">
        <f t="shared" si="0"/>
        <v>A</v>
      </c>
    </row>
    <row r="14" spans="1:19" x14ac:dyDescent="0.55000000000000004">
      <c r="A14" s="1" t="e">
        <f>IF(#REF!="","",#REF!)</f>
        <v>#REF!</v>
      </c>
      <c r="C14" s="69" t="s">
        <v>153</v>
      </c>
      <c r="D14" s="38">
        <v>45110</v>
      </c>
      <c r="E14" s="40"/>
      <c r="F14" s="40" t="s">
        <v>54</v>
      </c>
      <c r="G14" s="40" t="s">
        <v>12</v>
      </c>
      <c r="H14" s="42">
        <v>45112</v>
      </c>
      <c r="I14" s="43" t="s">
        <v>56</v>
      </c>
      <c r="J14" s="42">
        <v>45112</v>
      </c>
      <c r="K14" s="44" t="s">
        <v>14</v>
      </c>
      <c r="L14" s="43">
        <v>358609372397824</v>
      </c>
      <c r="M14" s="45" t="s">
        <v>55</v>
      </c>
      <c r="N14" s="46" t="s">
        <v>14</v>
      </c>
      <c r="O14" s="49">
        <v>358609370290211</v>
      </c>
      <c r="P14" s="73"/>
      <c r="Q14" s="74"/>
      <c r="R14" s="66" t="s">
        <v>142</v>
      </c>
      <c r="S14" s="1" t="str">
        <f t="shared" si="0"/>
        <v>A</v>
      </c>
    </row>
    <row r="15" spans="1:19" x14ac:dyDescent="0.55000000000000004">
      <c r="A15" s="1" t="e">
        <f>IF(#REF!="","",#REF!)</f>
        <v>#REF!</v>
      </c>
      <c r="C15" s="69" t="s">
        <v>154</v>
      </c>
      <c r="D15" s="38">
        <v>45117</v>
      </c>
      <c r="E15" s="40"/>
      <c r="F15" s="40" t="s">
        <v>57</v>
      </c>
      <c r="G15" s="40" t="s">
        <v>12</v>
      </c>
      <c r="H15" s="42">
        <v>45118</v>
      </c>
      <c r="I15" s="43" t="s">
        <v>59</v>
      </c>
      <c r="J15" s="42">
        <v>45118</v>
      </c>
      <c r="K15" s="44" t="s">
        <v>14</v>
      </c>
      <c r="L15" s="43">
        <v>358609372087623</v>
      </c>
      <c r="M15" s="45" t="s">
        <v>58</v>
      </c>
      <c r="N15" s="46" t="s">
        <v>14</v>
      </c>
      <c r="O15" s="47">
        <v>358233414877774</v>
      </c>
      <c r="P15" s="73"/>
      <c r="Q15" s="74"/>
      <c r="R15" s="66" t="s">
        <v>142</v>
      </c>
      <c r="S15" s="1" t="str">
        <f t="shared" si="0"/>
        <v>A</v>
      </c>
    </row>
    <row r="16" spans="1:19" x14ac:dyDescent="0.55000000000000004">
      <c r="A16" s="1" t="e">
        <f>IF(#REF!="","",#REF!)</f>
        <v>#REF!</v>
      </c>
      <c r="C16" s="69" t="s">
        <v>155</v>
      </c>
      <c r="D16" s="38">
        <v>45148</v>
      </c>
      <c r="E16" s="40"/>
      <c r="F16" s="40" t="s">
        <v>60</v>
      </c>
      <c r="G16" s="40" t="s">
        <v>12</v>
      </c>
      <c r="H16" s="42">
        <v>45152</v>
      </c>
      <c r="I16" s="43" t="s">
        <v>62</v>
      </c>
      <c r="J16" s="42">
        <v>45152</v>
      </c>
      <c r="K16" s="44" t="s">
        <v>14</v>
      </c>
      <c r="L16" s="43">
        <v>355669672542910</v>
      </c>
      <c r="M16" s="45" t="s">
        <v>61</v>
      </c>
      <c r="N16" s="46" t="s">
        <v>14</v>
      </c>
      <c r="O16" s="47">
        <v>355669676496238</v>
      </c>
      <c r="P16" s="73"/>
      <c r="Q16" s="74"/>
      <c r="R16" s="66" t="s">
        <v>142</v>
      </c>
      <c r="S16" s="1" t="str">
        <f t="shared" si="0"/>
        <v>A</v>
      </c>
    </row>
    <row r="17" spans="1:19" x14ac:dyDescent="0.55000000000000004">
      <c r="A17" s="1" t="e">
        <f>IF(#REF!="","",#REF!)</f>
        <v>#REF!</v>
      </c>
      <c r="C17" s="69" t="s">
        <v>156</v>
      </c>
      <c r="D17" s="38">
        <v>45167</v>
      </c>
      <c r="E17" s="40"/>
      <c r="F17" s="40" t="s">
        <v>63</v>
      </c>
      <c r="G17" s="40" t="s">
        <v>12</v>
      </c>
      <c r="H17" s="42">
        <v>45169</v>
      </c>
      <c r="I17" s="43" t="s">
        <v>69</v>
      </c>
      <c r="J17" s="42">
        <v>45170</v>
      </c>
      <c r="K17" s="44" t="s">
        <v>14</v>
      </c>
      <c r="L17" s="43">
        <v>358609370059772</v>
      </c>
      <c r="M17" s="45" t="s">
        <v>64</v>
      </c>
      <c r="N17" s="46" t="s">
        <v>14</v>
      </c>
      <c r="O17" s="47">
        <v>355669676655759</v>
      </c>
      <c r="P17" s="73"/>
      <c r="Q17" s="74"/>
      <c r="R17" s="66" t="s">
        <v>142</v>
      </c>
      <c r="S17" s="1" t="str">
        <f t="shared" si="0"/>
        <v>A</v>
      </c>
    </row>
    <row r="18" spans="1:19" x14ac:dyDescent="0.55000000000000004">
      <c r="A18" s="1" t="e">
        <f>IF(#REF!="","",#REF!)</f>
        <v>#REF!</v>
      </c>
      <c r="C18" s="69" t="s">
        <v>157</v>
      </c>
      <c r="D18" s="38">
        <v>45169</v>
      </c>
      <c r="E18" s="40"/>
      <c r="F18" s="40" t="s">
        <v>65</v>
      </c>
      <c r="G18" s="40" t="s">
        <v>12</v>
      </c>
      <c r="H18" s="42">
        <v>45170</v>
      </c>
      <c r="I18" s="43" t="s">
        <v>68</v>
      </c>
      <c r="J18" s="42">
        <v>45170</v>
      </c>
      <c r="K18" s="44" t="s">
        <v>14</v>
      </c>
      <c r="L18" s="43">
        <v>358233412870029</v>
      </c>
      <c r="M18" s="45" t="s">
        <v>66</v>
      </c>
      <c r="N18" s="46" t="s">
        <v>14</v>
      </c>
      <c r="O18" s="47">
        <v>358233416280803</v>
      </c>
      <c r="P18" s="73"/>
      <c r="Q18" s="74"/>
      <c r="R18" s="66" t="s">
        <v>142</v>
      </c>
      <c r="S18" s="1" t="str">
        <f t="shared" si="0"/>
        <v>A</v>
      </c>
    </row>
    <row r="19" spans="1:19" x14ac:dyDescent="0.55000000000000004">
      <c r="A19" s="1" t="e">
        <f>IF(#REF!="","",#REF!)</f>
        <v>#REF!</v>
      </c>
      <c r="C19" s="69" t="s">
        <v>158</v>
      </c>
      <c r="D19" s="38">
        <v>45169</v>
      </c>
      <c r="E19" s="40"/>
      <c r="F19" s="40" t="s">
        <v>67</v>
      </c>
      <c r="G19" s="40" t="s">
        <v>12</v>
      </c>
      <c r="H19" s="42">
        <v>45170</v>
      </c>
      <c r="I19" s="43" t="s">
        <v>68</v>
      </c>
      <c r="J19" s="42">
        <v>45170</v>
      </c>
      <c r="K19" s="44" t="s">
        <v>14</v>
      </c>
      <c r="L19" s="43">
        <v>335948280241978</v>
      </c>
      <c r="M19" s="45" t="s">
        <v>66</v>
      </c>
      <c r="N19" s="46" t="s">
        <v>14</v>
      </c>
      <c r="O19" s="47">
        <v>355948287934021</v>
      </c>
      <c r="P19" s="73"/>
      <c r="Q19" s="74"/>
      <c r="R19" s="66" t="s">
        <v>142</v>
      </c>
      <c r="S19" s="1" t="str">
        <f t="shared" si="0"/>
        <v>A</v>
      </c>
    </row>
    <row r="20" spans="1:19" x14ac:dyDescent="0.55000000000000004">
      <c r="A20" s="1" t="e">
        <f>IF(#REF!="","",#REF!)</f>
        <v>#REF!</v>
      </c>
      <c r="C20" s="69" t="s">
        <v>159</v>
      </c>
      <c r="D20" s="38"/>
      <c r="E20" s="40"/>
      <c r="F20" s="40" t="s">
        <v>70</v>
      </c>
      <c r="G20" s="40" t="s">
        <v>12</v>
      </c>
      <c r="H20" s="42">
        <v>45376</v>
      </c>
      <c r="I20" s="43" t="s">
        <v>72</v>
      </c>
      <c r="J20" s="42">
        <v>45377</v>
      </c>
      <c r="K20" s="44" t="s">
        <v>14</v>
      </c>
      <c r="L20" s="43">
        <v>355669672483149</v>
      </c>
      <c r="M20" s="45" t="s">
        <v>71</v>
      </c>
      <c r="N20" s="46" t="s">
        <v>14</v>
      </c>
      <c r="O20" s="47">
        <v>355948286401295</v>
      </c>
      <c r="P20" s="73" t="s">
        <v>77</v>
      </c>
      <c r="Q20" s="74"/>
      <c r="R20" s="66" t="s">
        <v>142</v>
      </c>
      <c r="S20" s="1" t="str">
        <f t="shared" si="0"/>
        <v>A</v>
      </c>
    </row>
    <row r="21" spans="1:19" x14ac:dyDescent="0.55000000000000004">
      <c r="A21" s="1" t="e">
        <f>IF(#REF!="","",#REF!)</f>
        <v>#REF!</v>
      </c>
      <c r="C21" s="69" t="s">
        <v>160</v>
      </c>
      <c r="D21" s="38">
        <v>45378</v>
      </c>
      <c r="E21" s="40"/>
      <c r="F21" s="40" t="s">
        <v>70</v>
      </c>
      <c r="G21" s="40" t="s">
        <v>12</v>
      </c>
      <c r="H21" s="42">
        <v>45379</v>
      </c>
      <c r="I21" s="43" t="s">
        <v>73</v>
      </c>
      <c r="J21" s="42">
        <v>45379</v>
      </c>
      <c r="K21" s="44" t="s">
        <v>74</v>
      </c>
      <c r="L21" s="43">
        <v>355948286401295</v>
      </c>
      <c r="M21" s="45" t="s">
        <v>76</v>
      </c>
      <c r="N21" s="46" t="s">
        <v>14</v>
      </c>
      <c r="O21" s="47">
        <v>355818729804167</v>
      </c>
      <c r="P21" s="73" t="s">
        <v>75</v>
      </c>
      <c r="Q21" s="74"/>
      <c r="R21" s="66" t="s">
        <v>142</v>
      </c>
      <c r="S21" s="1" t="str">
        <f t="shared" si="0"/>
        <v>A</v>
      </c>
    </row>
    <row r="22" spans="1:19" x14ac:dyDescent="0.55000000000000004">
      <c r="A22" s="1" t="e">
        <f>IF(#REF!="","",#REF!)</f>
        <v>#REF!</v>
      </c>
      <c r="C22" s="69" t="s">
        <v>161</v>
      </c>
      <c r="D22" s="38">
        <v>45467</v>
      </c>
      <c r="E22" s="40"/>
      <c r="F22" s="40" t="s">
        <v>26</v>
      </c>
      <c r="G22" s="40" t="s">
        <v>12</v>
      </c>
      <c r="H22" s="42">
        <v>45505</v>
      </c>
      <c r="I22" s="43" t="s">
        <v>86</v>
      </c>
      <c r="J22" s="42">
        <v>45505</v>
      </c>
      <c r="K22" s="44" t="s">
        <v>14</v>
      </c>
      <c r="L22" s="43">
        <v>358233414739941</v>
      </c>
      <c r="M22" s="45" t="s">
        <v>78</v>
      </c>
      <c r="N22" s="46" t="s">
        <v>14</v>
      </c>
      <c r="O22" s="47">
        <v>355818728886181</v>
      </c>
      <c r="P22" s="73"/>
      <c r="Q22" s="74"/>
      <c r="R22" s="66" t="s">
        <v>142</v>
      </c>
      <c r="S22" s="1" t="str">
        <f t="shared" si="0"/>
        <v>A</v>
      </c>
    </row>
    <row r="23" spans="1:19" x14ac:dyDescent="0.55000000000000004">
      <c r="A23" s="1" t="e">
        <f>IF(#REF!="","",#REF!)</f>
        <v>#REF!</v>
      </c>
      <c r="C23" s="69" t="s">
        <v>162</v>
      </c>
      <c r="D23" s="38">
        <v>45497</v>
      </c>
      <c r="E23" s="40"/>
      <c r="F23" s="40" t="s">
        <v>79</v>
      </c>
      <c r="G23" s="40" t="s">
        <v>12</v>
      </c>
      <c r="H23" s="42">
        <v>45506</v>
      </c>
      <c r="I23" s="43" t="s">
        <v>87</v>
      </c>
      <c r="J23" s="42">
        <v>45506</v>
      </c>
      <c r="K23" s="44" t="s">
        <v>14</v>
      </c>
      <c r="L23" s="43">
        <v>358233412072725</v>
      </c>
      <c r="M23" s="45" t="s">
        <v>80</v>
      </c>
      <c r="N23" s="46" t="s">
        <v>14</v>
      </c>
      <c r="O23" s="47">
        <v>355818728133311</v>
      </c>
      <c r="P23" s="73"/>
      <c r="Q23" s="74"/>
      <c r="R23" s="66" t="s">
        <v>142</v>
      </c>
      <c r="S23" s="1" t="str">
        <f t="shared" si="0"/>
        <v>A</v>
      </c>
    </row>
    <row r="24" spans="1:19" x14ac:dyDescent="0.55000000000000004">
      <c r="A24" s="1" t="e">
        <f>IF(#REF!="","",#REF!)</f>
        <v>#REF!</v>
      </c>
      <c r="C24" s="69" t="s">
        <v>163</v>
      </c>
      <c r="D24" s="38">
        <v>45503</v>
      </c>
      <c r="E24" s="40" t="s">
        <v>132</v>
      </c>
      <c r="F24" s="40" t="s">
        <v>81</v>
      </c>
      <c r="G24" s="40" t="s">
        <v>12</v>
      </c>
      <c r="H24" s="42" t="s">
        <v>141</v>
      </c>
      <c r="I24" s="43"/>
      <c r="J24" s="42" t="s">
        <v>141</v>
      </c>
      <c r="K24" s="44" t="s">
        <v>648</v>
      </c>
      <c r="L24" s="43">
        <v>359418747753623</v>
      </c>
      <c r="M24" s="45" t="s">
        <v>83</v>
      </c>
      <c r="N24" s="46" t="s">
        <v>21</v>
      </c>
      <c r="O24" s="47">
        <v>359418747786607</v>
      </c>
      <c r="P24" s="73" t="s">
        <v>85</v>
      </c>
      <c r="Q24" s="74"/>
      <c r="R24" s="66" t="s">
        <v>142</v>
      </c>
      <c r="S24" s="1" t="str">
        <f t="shared" si="0"/>
        <v/>
      </c>
    </row>
    <row r="25" spans="1:19" x14ac:dyDescent="0.55000000000000004">
      <c r="A25" s="1" t="e">
        <f>IF(#REF!="","",#REF!)</f>
        <v>#REF!</v>
      </c>
      <c r="C25" s="69" t="s">
        <v>164</v>
      </c>
      <c r="D25" s="38">
        <v>45503</v>
      </c>
      <c r="E25" s="40" t="s">
        <v>132</v>
      </c>
      <c r="F25" s="40" t="s">
        <v>82</v>
      </c>
      <c r="G25" s="40" t="s">
        <v>12</v>
      </c>
      <c r="H25" s="42" t="s">
        <v>141</v>
      </c>
      <c r="I25" s="43"/>
      <c r="J25" s="42" t="s">
        <v>141</v>
      </c>
      <c r="K25" s="44" t="s">
        <v>21</v>
      </c>
      <c r="L25" s="43">
        <v>359418746023408</v>
      </c>
      <c r="M25" s="45" t="s">
        <v>84</v>
      </c>
      <c r="N25" s="46" t="s">
        <v>21</v>
      </c>
      <c r="O25" s="47">
        <v>350514050453683</v>
      </c>
      <c r="P25" s="73" t="s">
        <v>85</v>
      </c>
      <c r="Q25" s="74"/>
      <c r="R25" s="66" t="s">
        <v>142</v>
      </c>
      <c r="S25" s="1" t="str">
        <f t="shared" si="0"/>
        <v/>
      </c>
    </row>
    <row r="26" spans="1:19" ht="52.5" x14ac:dyDescent="0.55000000000000004">
      <c r="A26" s="1" t="e">
        <f>IF(#REF!="","",#REF!)</f>
        <v>#REF!</v>
      </c>
      <c r="C26" s="69" t="s">
        <v>165</v>
      </c>
      <c r="D26" s="38">
        <v>45603</v>
      </c>
      <c r="E26" s="40"/>
      <c r="F26" s="40" t="s">
        <v>79</v>
      </c>
      <c r="G26" s="40" t="s">
        <v>12</v>
      </c>
      <c r="H26" s="42">
        <v>45608</v>
      </c>
      <c r="I26" s="43" t="s">
        <v>89</v>
      </c>
      <c r="J26" s="42">
        <v>45608</v>
      </c>
      <c r="K26" s="44" t="s">
        <v>14</v>
      </c>
      <c r="L26" s="43">
        <v>355818728133311</v>
      </c>
      <c r="M26" s="50" t="s">
        <v>88</v>
      </c>
      <c r="N26" s="46" t="s">
        <v>14</v>
      </c>
      <c r="O26" s="47">
        <v>358233419365098</v>
      </c>
      <c r="P26" s="73"/>
      <c r="Q26" s="74"/>
      <c r="R26" s="66" t="s">
        <v>142</v>
      </c>
      <c r="S26" s="1" t="str">
        <f t="shared" si="0"/>
        <v>A</v>
      </c>
    </row>
    <row r="27" spans="1:19" s="17" customFormat="1" x14ac:dyDescent="0.55000000000000004">
      <c r="A27" s="17" t="e">
        <f>IF(#REF!="","",#REF!)</f>
        <v>#REF!</v>
      </c>
      <c r="C27" s="69" t="s">
        <v>166</v>
      </c>
      <c r="D27" s="51">
        <v>45714</v>
      </c>
      <c r="E27" s="52"/>
      <c r="F27" s="52" t="s">
        <v>90</v>
      </c>
      <c r="G27" s="52" t="s">
        <v>12</v>
      </c>
      <c r="H27" s="51">
        <v>45716</v>
      </c>
      <c r="I27" s="53" t="s">
        <v>93</v>
      </c>
      <c r="J27" s="51">
        <v>45716</v>
      </c>
      <c r="K27" s="54" t="s">
        <v>92</v>
      </c>
      <c r="L27" s="53">
        <v>359418748259265</v>
      </c>
      <c r="M27" s="55" t="s">
        <v>91</v>
      </c>
      <c r="N27" s="54" t="s">
        <v>92</v>
      </c>
      <c r="O27" s="56">
        <v>359418747786607</v>
      </c>
      <c r="P27" s="75"/>
      <c r="Q27" s="76"/>
      <c r="R27" s="66" t="s">
        <v>142</v>
      </c>
      <c r="S27" s="17" t="str">
        <f t="shared" si="0"/>
        <v>A</v>
      </c>
    </row>
    <row r="28" spans="1:19" x14ac:dyDescent="0.55000000000000004">
      <c r="A28" s="1" t="e">
        <f>IF(#REF!="","",#REF!)</f>
        <v>#REF!</v>
      </c>
      <c r="C28" s="69" t="s">
        <v>167</v>
      </c>
      <c r="D28" s="38">
        <v>45721</v>
      </c>
      <c r="E28" s="40"/>
      <c r="F28" s="40" t="s">
        <v>94</v>
      </c>
      <c r="G28" s="40" t="s">
        <v>12</v>
      </c>
      <c r="H28" s="42">
        <v>45722</v>
      </c>
      <c r="I28" s="43" t="s">
        <v>96</v>
      </c>
      <c r="J28" s="42">
        <v>45722</v>
      </c>
      <c r="K28" s="44" t="s">
        <v>14</v>
      </c>
      <c r="L28" s="43">
        <v>358233412384237</v>
      </c>
      <c r="M28" s="45" t="s">
        <v>95</v>
      </c>
      <c r="N28" s="57" t="s">
        <v>14</v>
      </c>
      <c r="O28" s="47">
        <v>358233419215731</v>
      </c>
      <c r="P28" s="73"/>
      <c r="Q28" s="74"/>
      <c r="R28" s="66" t="s">
        <v>142</v>
      </c>
      <c r="S28" s="1" t="str">
        <f t="shared" si="0"/>
        <v>A</v>
      </c>
    </row>
    <row r="29" spans="1:19" x14ac:dyDescent="0.55000000000000004">
      <c r="A29" s="1" t="e">
        <f>IF(#REF!="","",#REF!)</f>
        <v>#REF!</v>
      </c>
      <c r="C29" s="69" t="s">
        <v>168</v>
      </c>
      <c r="D29" s="38">
        <v>45729</v>
      </c>
      <c r="E29" s="40"/>
      <c r="F29" s="40" t="s">
        <v>97</v>
      </c>
      <c r="G29" s="40" t="s">
        <v>12</v>
      </c>
      <c r="H29" s="42">
        <v>45733</v>
      </c>
      <c r="I29" s="43" t="s">
        <v>100</v>
      </c>
      <c r="J29" s="42">
        <v>45733</v>
      </c>
      <c r="K29" s="44" t="s">
        <v>21</v>
      </c>
      <c r="L29" s="43">
        <v>359418746610717</v>
      </c>
      <c r="M29" s="45" t="s">
        <v>98</v>
      </c>
      <c r="N29" s="46" t="s">
        <v>92</v>
      </c>
      <c r="O29" s="47" t="s">
        <v>99</v>
      </c>
      <c r="P29" s="73"/>
      <c r="Q29" s="74"/>
      <c r="R29" s="66" t="s">
        <v>142</v>
      </c>
      <c r="S29" s="1" t="str">
        <f t="shared" si="0"/>
        <v>A</v>
      </c>
    </row>
    <row r="30" spans="1:19" x14ac:dyDescent="0.55000000000000004">
      <c r="A30" s="1" t="e">
        <f>IF(#REF!="","",#REF!)</f>
        <v>#REF!</v>
      </c>
      <c r="C30" s="69" t="s">
        <v>169</v>
      </c>
      <c r="D30" s="38">
        <v>45741</v>
      </c>
      <c r="E30" s="40"/>
      <c r="F30" s="40" t="s">
        <v>101</v>
      </c>
      <c r="G30" s="40" t="s">
        <v>12</v>
      </c>
      <c r="H30" s="42">
        <v>45742</v>
      </c>
      <c r="I30" s="43" t="s">
        <v>103</v>
      </c>
      <c r="J30" s="42">
        <v>45742</v>
      </c>
      <c r="K30" s="44" t="s">
        <v>14</v>
      </c>
      <c r="L30" s="43">
        <v>355669672028159</v>
      </c>
      <c r="M30" s="45" t="s">
        <v>102</v>
      </c>
      <c r="N30" s="44" t="s">
        <v>14</v>
      </c>
      <c r="O30" s="47">
        <v>358233419078121</v>
      </c>
      <c r="P30" s="73"/>
      <c r="Q30" s="74"/>
      <c r="R30" s="66" t="s">
        <v>142</v>
      </c>
      <c r="S30" s="1" t="str">
        <f t="shared" si="0"/>
        <v>A</v>
      </c>
    </row>
    <row r="31" spans="1:19" x14ac:dyDescent="0.55000000000000004">
      <c r="A31" s="1" t="e">
        <f>IF(#REF!="","",#REF!)</f>
        <v>#REF!</v>
      </c>
      <c r="C31" s="69" t="s">
        <v>170</v>
      </c>
      <c r="D31" s="38">
        <v>45763</v>
      </c>
      <c r="E31" s="40"/>
      <c r="F31" s="40" t="s">
        <v>104</v>
      </c>
      <c r="G31" s="40" t="s">
        <v>12</v>
      </c>
      <c r="H31" s="42">
        <v>45764</v>
      </c>
      <c r="I31" s="43" t="s">
        <v>106</v>
      </c>
      <c r="J31" s="42">
        <v>45764</v>
      </c>
      <c r="K31" s="44" t="s">
        <v>14</v>
      </c>
      <c r="L31" s="43">
        <v>358609372812657</v>
      </c>
      <c r="M31" s="45" t="s">
        <v>105</v>
      </c>
      <c r="N31" s="46" t="s">
        <v>14</v>
      </c>
      <c r="O31" s="47">
        <v>358233418211798</v>
      </c>
      <c r="P31" s="73"/>
      <c r="Q31" s="74"/>
      <c r="R31" s="66" t="s">
        <v>142</v>
      </c>
      <c r="S31" s="1" t="str">
        <f t="shared" si="0"/>
        <v>A</v>
      </c>
    </row>
    <row r="32" spans="1:19" x14ac:dyDescent="0.55000000000000004">
      <c r="A32" s="1" t="e">
        <f>IF(#REF!="","",#REF!)</f>
        <v>#REF!</v>
      </c>
      <c r="C32" s="69" t="s">
        <v>171</v>
      </c>
      <c r="D32" s="38">
        <v>45775</v>
      </c>
      <c r="E32" s="40"/>
      <c r="F32" s="40" t="s">
        <v>107</v>
      </c>
      <c r="G32" s="40" t="s">
        <v>12</v>
      </c>
      <c r="H32" s="42">
        <v>45777</v>
      </c>
      <c r="I32" s="43" t="s">
        <v>109</v>
      </c>
      <c r="J32" s="42">
        <v>45777</v>
      </c>
      <c r="K32" s="44" t="s">
        <v>14</v>
      </c>
      <c r="L32" s="43">
        <v>358233412921574</v>
      </c>
      <c r="M32" s="45" t="s">
        <v>108</v>
      </c>
      <c r="N32" s="46" t="s">
        <v>14</v>
      </c>
      <c r="O32" s="47">
        <v>358233419947200</v>
      </c>
      <c r="P32" s="73"/>
      <c r="Q32" s="74"/>
      <c r="R32" s="66" t="s">
        <v>142</v>
      </c>
      <c r="S32" s="1" t="str">
        <f t="shared" si="0"/>
        <v>A</v>
      </c>
    </row>
    <row r="33" spans="1:19" x14ac:dyDescent="0.55000000000000004">
      <c r="A33" s="1" t="e">
        <f>IF(#REF!="","",#REF!)</f>
        <v>#REF!</v>
      </c>
      <c r="C33" s="69" t="s">
        <v>172</v>
      </c>
      <c r="D33" s="38">
        <v>45793</v>
      </c>
      <c r="E33" s="40"/>
      <c r="F33" s="40" t="s">
        <v>110</v>
      </c>
      <c r="G33" s="40" t="s">
        <v>12</v>
      </c>
      <c r="H33" s="42">
        <v>45797</v>
      </c>
      <c r="I33" s="43" t="s">
        <v>112</v>
      </c>
      <c r="J33" s="42">
        <v>45797</v>
      </c>
      <c r="K33" s="44" t="s">
        <v>14</v>
      </c>
      <c r="L33" s="43">
        <v>355669672770891</v>
      </c>
      <c r="M33" s="45" t="s">
        <v>111</v>
      </c>
      <c r="N33" s="44" t="s">
        <v>14</v>
      </c>
      <c r="O33" s="47">
        <v>354541990717568</v>
      </c>
      <c r="P33" s="73"/>
      <c r="Q33" s="74"/>
      <c r="R33" s="66" t="s">
        <v>142</v>
      </c>
      <c r="S33" s="1" t="str">
        <f t="shared" si="0"/>
        <v>A</v>
      </c>
    </row>
    <row r="34" spans="1:19" x14ac:dyDescent="0.55000000000000004">
      <c r="A34" s="1" t="e">
        <f>IF(#REF!="","",#REF!)</f>
        <v>#REF!</v>
      </c>
      <c r="C34" s="69" t="s">
        <v>173</v>
      </c>
      <c r="D34" s="38">
        <v>45798</v>
      </c>
      <c r="E34" s="40"/>
      <c r="F34" s="40" t="s">
        <v>113</v>
      </c>
      <c r="G34" s="40" t="s">
        <v>12</v>
      </c>
      <c r="H34" s="42">
        <v>45799</v>
      </c>
      <c r="I34" s="43" t="s">
        <v>115</v>
      </c>
      <c r="J34" s="42">
        <v>45799</v>
      </c>
      <c r="K34" s="44" t="s">
        <v>14</v>
      </c>
      <c r="L34" s="43">
        <v>358609372621561</v>
      </c>
      <c r="M34" s="45" t="s">
        <v>114</v>
      </c>
      <c r="N34" s="44" t="s">
        <v>14</v>
      </c>
      <c r="O34" s="47">
        <v>354541990715679</v>
      </c>
      <c r="P34" s="73"/>
      <c r="Q34" s="74"/>
      <c r="R34" s="66" t="s">
        <v>142</v>
      </c>
      <c r="S34" s="1" t="str">
        <f t="shared" si="0"/>
        <v>A</v>
      </c>
    </row>
    <row r="35" spans="1:19" x14ac:dyDescent="0.55000000000000004">
      <c r="A35" s="1" t="e">
        <f>IF(#REF!="","",#REF!)</f>
        <v>#REF!</v>
      </c>
      <c r="C35" s="69" t="s">
        <v>174</v>
      </c>
      <c r="D35" s="38">
        <v>45806</v>
      </c>
      <c r="E35" s="40"/>
      <c r="F35" s="40" t="s">
        <v>116</v>
      </c>
      <c r="G35" s="40" t="s">
        <v>12</v>
      </c>
      <c r="H35" s="42">
        <v>45807</v>
      </c>
      <c r="I35" s="43" t="s">
        <v>118</v>
      </c>
      <c r="J35" s="42">
        <v>45807</v>
      </c>
      <c r="K35" s="44" t="s">
        <v>14</v>
      </c>
      <c r="L35" s="43">
        <v>355669672929760</v>
      </c>
      <c r="M35" s="45" t="s">
        <v>117</v>
      </c>
      <c r="N35" s="44" t="s">
        <v>14</v>
      </c>
      <c r="O35" s="47">
        <v>354541990628989</v>
      </c>
      <c r="P35" s="73"/>
      <c r="Q35" s="74"/>
      <c r="R35" s="66" t="s">
        <v>142</v>
      </c>
      <c r="S35" s="1" t="str">
        <f t="shared" si="0"/>
        <v>A</v>
      </c>
    </row>
    <row r="36" spans="1:19" x14ac:dyDescent="0.55000000000000004">
      <c r="A36" s="1" t="e">
        <f>IF(#REF!="","",#REF!)</f>
        <v>#REF!</v>
      </c>
      <c r="C36" s="69" t="s">
        <v>175</v>
      </c>
      <c r="D36" s="38">
        <v>45810</v>
      </c>
      <c r="E36" s="40"/>
      <c r="F36" s="40" t="s">
        <v>119</v>
      </c>
      <c r="G36" s="40" t="s">
        <v>12</v>
      </c>
      <c r="H36" s="42">
        <v>45811</v>
      </c>
      <c r="I36" s="43" t="s">
        <v>121</v>
      </c>
      <c r="J36" s="42">
        <v>45811</v>
      </c>
      <c r="K36" s="44" t="s">
        <v>14</v>
      </c>
      <c r="L36" s="43">
        <v>358609370165405</v>
      </c>
      <c r="M36" s="45" t="s">
        <v>120</v>
      </c>
      <c r="N36" s="44" t="s">
        <v>14</v>
      </c>
      <c r="O36" s="47">
        <v>354541990048105</v>
      </c>
      <c r="P36" s="73"/>
      <c r="Q36" s="74"/>
      <c r="R36" s="66" t="s">
        <v>142</v>
      </c>
      <c r="S36" s="1" t="str">
        <f t="shared" si="0"/>
        <v>A</v>
      </c>
    </row>
    <row r="37" spans="1:19" x14ac:dyDescent="0.55000000000000004">
      <c r="A37" s="1" t="e">
        <f>IF(#REF!="","",#REF!)</f>
        <v>#REF!</v>
      </c>
      <c r="C37" s="69" t="s">
        <v>176</v>
      </c>
      <c r="D37" s="38">
        <v>45881</v>
      </c>
      <c r="E37" s="40"/>
      <c r="F37" s="40" t="s">
        <v>122</v>
      </c>
      <c r="G37" s="40" t="s">
        <v>12</v>
      </c>
      <c r="H37" s="42">
        <v>45901</v>
      </c>
      <c r="I37" s="43" t="s">
        <v>127</v>
      </c>
      <c r="J37" s="42">
        <v>45901</v>
      </c>
      <c r="K37" s="44" t="s">
        <v>14</v>
      </c>
      <c r="L37" s="43">
        <v>358609372502100</v>
      </c>
      <c r="M37" s="45" t="s">
        <v>124</v>
      </c>
      <c r="N37" s="44" t="s">
        <v>14</v>
      </c>
      <c r="O37" s="47" t="s">
        <v>125</v>
      </c>
      <c r="P37" s="73"/>
      <c r="Q37" s="74"/>
      <c r="R37" s="66" t="s">
        <v>142</v>
      </c>
      <c r="S37" s="1" t="str">
        <f t="shared" si="0"/>
        <v>A</v>
      </c>
    </row>
    <row r="38" spans="1:19" x14ac:dyDescent="0.55000000000000004">
      <c r="A38" s="1" t="e">
        <f>IF(#REF!="","",#REF!)</f>
        <v>#REF!</v>
      </c>
      <c r="C38" s="69" t="s">
        <v>177</v>
      </c>
      <c r="D38" s="38">
        <v>45881</v>
      </c>
      <c r="E38" s="40"/>
      <c r="F38" s="40" t="s">
        <v>123</v>
      </c>
      <c r="G38" s="40" t="s">
        <v>12</v>
      </c>
      <c r="H38" s="42">
        <v>45901</v>
      </c>
      <c r="I38" s="43" t="s">
        <v>127</v>
      </c>
      <c r="J38" s="42">
        <v>45901</v>
      </c>
      <c r="K38" s="44" t="s">
        <v>14</v>
      </c>
      <c r="L38" s="43">
        <v>358609372728440</v>
      </c>
      <c r="M38" s="45" t="s">
        <v>124</v>
      </c>
      <c r="N38" s="44" t="s">
        <v>14</v>
      </c>
      <c r="O38" s="47" t="s">
        <v>126</v>
      </c>
      <c r="P38" s="73"/>
      <c r="Q38" s="74"/>
      <c r="R38" s="66" t="s">
        <v>142</v>
      </c>
      <c r="S38" s="1" t="str">
        <f t="shared" si="0"/>
        <v>A</v>
      </c>
    </row>
    <row r="39" spans="1:19" x14ac:dyDescent="0.55000000000000004">
      <c r="A39" s="1" t="e">
        <f>IF(#REF!="","",#REF!)</f>
        <v>#REF!</v>
      </c>
      <c r="C39" s="69" t="s">
        <v>178</v>
      </c>
      <c r="D39" s="38">
        <v>45960</v>
      </c>
      <c r="E39" s="40"/>
      <c r="F39" s="40" t="s">
        <v>128</v>
      </c>
      <c r="G39" s="40" t="s">
        <v>12</v>
      </c>
      <c r="H39" s="42">
        <v>45965</v>
      </c>
      <c r="I39" s="43" t="s">
        <v>129</v>
      </c>
      <c r="J39" s="42">
        <v>45965</v>
      </c>
      <c r="K39" s="44" t="s">
        <v>14</v>
      </c>
      <c r="L39" s="43">
        <v>358233412474822</v>
      </c>
      <c r="M39" s="45" t="s">
        <v>130</v>
      </c>
      <c r="N39" s="44" t="s">
        <v>14</v>
      </c>
      <c r="O39" s="47">
        <v>355948289712334</v>
      </c>
      <c r="P39" s="73" t="s">
        <v>131</v>
      </c>
      <c r="Q39" s="74"/>
      <c r="R39" s="66" t="s">
        <v>142</v>
      </c>
      <c r="S39" s="1" t="e">
        <f>IF(E39="キャンセル","",IF(#REF!="故障","A",IF(#REF!="紛失・盗難","A",IF(#REF!="キッティング","A","B"))))</f>
        <v>#REF!</v>
      </c>
    </row>
    <row r="40" spans="1:19" x14ac:dyDescent="0.55000000000000004">
      <c r="A40" s="1" t="e">
        <f>IF(#REF!="","",#REF!)</f>
        <v>#REF!</v>
      </c>
      <c r="C40" s="70" t="s">
        <v>179</v>
      </c>
      <c r="D40" s="58">
        <v>46126</v>
      </c>
      <c r="E40" s="59"/>
      <c r="F40" s="59" t="s">
        <v>143</v>
      </c>
      <c r="G40" s="59" t="s">
        <v>12</v>
      </c>
      <c r="H40" s="60">
        <v>46128</v>
      </c>
      <c r="I40" s="32"/>
      <c r="J40" s="60"/>
      <c r="K40" s="61" t="s">
        <v>14</v>
      </c>
      <c r="L40" s="32">
        <v>355669671630575</v>
      </c>
      <c r="M40" s="62" t="s">
        <v>144</v>
      </c>
      <c r="N40" s="63" t="s">
        <v>14</v>
      </c>
      <c r="O40" s="64">
        <v>355818721602122</v>
      </c>
      <c r="P40" s="71"/>
      <c r="Q40" s="72"/>
      <c r="S40" s="1" t="e">
        <f>IF(E40="キャンセル","",IF(#REF!="故障","A",IF(#REF!="紛失・盗難","A",IF(#REF!="キッティング","A","B"))))</f>
        <v>#REF!</v>
      </c>
    </row>
    <row r="41" spans="1:19" x14ac:dyDescent="0.55000000000000004">
      <c r="A41" s="1" t="e">
        <f>IF(#REF!="","",#REF!)</f>
        <v>#REF!</v>
      </c>
      <c r="C41" s="70" t="s">
        <v>180</v>
      </c>
      <c r="D41" s="58"/>
      <c r="E41" s="59"/>
      <c r="F41" s="59"/>
      <c r="G41" s="59"/>
      <c r="H41" s="60"/>
      <c r="I41" s="32"/>
      <c r="J41" s="60"/>
      <c r="K41" s="61"/>
      <c r="L41" s="32"/>
      <c r="M41" s="62"/>
      <c r="N41" s="63"/>
      <c r="O41" s="64"/>
      <c r="P41" s="71"/>
      <c r="Q41" s="72"/>
      <c r="S41" s="1" t="str">
        <f>IF(E41="キャンセル","",IF(G40="故障","A",IF(G40="紛失・盗難","A",IF(G40="キッティング","A","B"))))</f>
        <v>A</v>
      </c>
    </row>
    <row r="42" spans="1:19" x14ac:dyDescent="0.55000000000000004">
      <c r="A42" s="1" t="e">
        <f>IF(#REF!="","",#REF!)</f>
        <v>#REF!</v>
      </c>
      <c r="C42" s="70" t="s">
        <v>181</v>
      </c>
      <c r="D42" s="58"/>
      <c r="E42" s="59"/>
      <c r="F42" s="59"/>
      <c r="G42" s="59"/>
      <c r="H42" s="60"/>
      <c r="I42" s="32"/>
      <c r="J42" s="60"/>
      <c r="K42" s="61"/>
      <c r="L42" s="32"/>
      <c r="M42" s="62"/>
      <c r="N42" s="63"/>
      <c r="O42" s="64"/>
      <c r="P42" s="71"/>
      <c r="Q42" s="72"/>
      <c r="S42" s="1" t="str">
        <f t="shared" ref="S42:S105" si="1">IF(E42="キャンセル","",IF(G42="故障","A",IF(G42="紛失・盗難","A",IF(G42="キッティング","A","B"))))</f>
        <v>B</v>
      </c>
    </row>
    <row r="43" spans="1:19" x14ac:dyDescent="0.55000000000000004">
      <c r="A43" s="1" t="e">
        <f>IF(#REF!="","",#REF!)</f>
        <v>#REF!</v>
      </c>
      <c r="C43" s="70" t="s">
        <v>182</v>
      </c>
      <c r="D43" s="58"/>
      <c r="E43" s="59"/>
      <c r="F43" s="59"/>
      <c r="G43" s="59"/>
      <c r="H43" s="60"/>
      <c r="I43" s="32"/>
      <c r="J43" s="60"/>
      <c r="K43" s="61"/>
      <c r="L43" s="32"/>
      <c r="M43" s="62"/>
      <c r="N43" s="63"/>
      <c r="O43" s="64"/>
      <c r="P43" s="71"/>
      <c r="Q43" s="72"/>
      <c r="S43" s="1" t="str">
        <f t="shared" si="1"/>
        <v>B</v>
      </c>
    </row>
    <row r="44" spans="1:19" x14ac:dyDescent="0.55000000000000004">
      <c r="A44" s="1" t="e">
        <f>IF(#REF!="","",#REF!)</f>
        <v>#REF!</v>
      </c>
      <c r="C44" s="70" t="s">
        <v>183</v>
      </c>
      <c r="D44" s="58"/>
      <c r="E44" s="59"/>
      <c r="F44" s="59"/>
      <c r="G44" s="59"/>
      <c r="H44" s="60"/>
      <c r="I44" s="32"/>
      <c r="J44" s="60"/>
      <c r="K44" s="61"/>
      <c r="L44" s="32"/>
      <c r="M44" s="62"/>
      <c r="N44" s="63"/>
      <c r="O44" s="64"/>
      <c r="P44" s="71"/>
      <c r="Q44" s="72"/>
      <c r="S44" s="1" t="str">
        <f t="shared" si="1"/>
        <v>B</v>
      </c>
    </row>
    <row r="45" spans="1:19" x14ac:dyDescent="0.55000000000000004">
      <c r="A45" s="1" t="e">
        <f>IF(#REF!="","",#REF!)</f>
        <v>#REF!</v>
      </c>
      <c r="C45" s="70" t="s">
        <v>184</v>
      </c>
      <c r="D45" s="58"/>
      <c r="E45" s="59"/>
      <c r="F45" s="59"/>
      <c r="G45" s="59"/>
      <c r="H45" s="60"/>
      <c r="I45" s="32"/>
      <c r="J45" s="60"/>
      <c r="K45" s="61"/>
      <c r="L45" s="32"/>
      <c r="M45" s="62"/>
      <c r="N45" s="63"/>
      <c r="O45" s="64"/>
      <c r="P45" s="71"/>
      <c r="Q45" s="72"/>
      <c r="S45" s="1" t="str">
        <f t="shared" si="1"/>
        <v>B</v>
      </c>
    </row>
    <row r="46" spans="1:19" x14ac:dyDescent="0.55000000000000004">
      <c r="A46" s="1" t="e">
        <f>IF(#REF!="","",#REF!)</f>
        <v>#REF!</v>
      </c>
      <c r="C46" s="70" t="s">
        <v>185</v>
      </c>
      <c r="D46" s="58"/>
      <c r="E46" s="59"/>
      <c r="F46" s="59"/>
      <c r="G46" s="59"/>
      <c r="H46" s="60"/>
      <c r="I46" s="32"/>
      <c r="J46" s="60"/>
      <c r="K46" s="61"/>
      <c r="L46" s="32"/>
      <c r="M46" s="62"/>
      <c r="N46" s="63"/>
      <c r="O46" s="64"/>
      <c r="P46" s="71"/>
      <c r="Q46" s="72"/>
      <c r="S46" s="1" t="str">
        <f t="shared" si="1"/>
        <v>B</v>
      </c>
    </row>
    <row r="47" spans="1:19" x14ac:dyDescent="0.55000000000000004">
      <c r="A47" s="1" t="e">
        <f>IF(#REF!="","",#REF!)</f>
        <v>#REF!</v>
      </c>
      <c r="C47" s="70" t="s">
        <v>186</v>
      </c>
      <c r="D47" s="58"/>
      <c r="E47" s="59"/>
      <c r="F47" s="59"/>
      <c r="G47" s="59"/>
      <c r="H47" s="60"/>
      <c r="I47" s="32"/>
      <c r="J47" s="60"/>
      <c r="K47" s="61"/>
      <c r="L47" s="32"/>
      <c r="M47" s="62"/>
      <c r="N47" s="63"/>
      <c r="O47" s="64"/>
      <c r="P47" s="71"/>
      <c r="Q47" s="72"/>
      <c r="S47" s="1" t="str">
        <f t="shared" si="1"/>
        <v>B</v>
      </c>
    </row>
    <row r="48" spans="1:19" x14ac:dyDescent="0.55000000000000004">
      <c r="A48" s="1" t="e">
        <f>IF(#REF!="","",#REF!)</f>
        <v>#REF!</v>
      </c>
      <c r="C48" s="70" t="s">
        <v>187</v>
      </c>
      <c r="D48" s="58"/>
      <c r="E48" s="59"/>
      <c r="F48" s="59"/>
      <c r="G48" s="59"/>
      <c r="H48" s="60"/>
      <c r="I48" s="32"/>
      <c r="J48" s="60"/>
      <c r="K48" s="61"/>
      <c r="L48" s="32"/>
      <c r="M48" s="62"/>
      <c r="N48" s="63"/>
      <c r="O48" s="64"/>
      <c r="P48" s="71"/>
      <c r="Q48" s="72"/>
      <c r="S48" s="1" t="str">
        <f t="shared" si="1"/>
        <v>B</v>
      </c>
    </row>
    <row r="49" spans="1:19" x14ac:dyDescent="0.55000000000000004">
      <c r="A49" s="1" t="e">
        <f>IF(#REF!="","",#REF!)</f>
        <v>#REF!</v>
      </c>
      <c r="C49" s="70" t="s">
        <v>188</v>
      </c>
      <c r="D49" s="58"/>
      <c r="E49" s="59"/>
      <c r="F49" s="59"/>
      <c r="G49" s="59"/>
      <c r="H49" s="60"/>
      <c r="I49" s="32"/>
      <c r="J49" s="60"/>
      <c r="K49" s="61"/>
      <c r="L49" s="32"/>
      <c r="M49" s="62"/>
      <c r="N49" s="63"/>
      <c r="O49" s="64"/>
      <c r="P49" s="71"/>
      <c r="Q49" s="72"/>
      <c r="S49" s="1" t="str">
        <f t="shared" si="1"/>
        <v>B</v>
      </c>
    </row>
    <row r="50" spans="1:19" x14ac:dyDescent="0.55000000000000004">
      <c r="A50" s="1" t="e">
        <f>IF(#REF!="","",#REF!)</f>
        <v>#REF!</v>
      </c>
      <c r="C50" s="70" t="s">
        <v>189</v>
      </c>
      <c r="D50" s="58"/>
      <c r="E50" s="59"/>
      <c r="F50" s="59"/>
      <c r="G50" s="59"/>
      <c r="H50" s="60"/>
      <c r="I50" s="32"/>
      <c r="J50" s="60"/>
      <c r="K50" s="61"/>
      <c r="L50" s="32"/>
      <c r="M50" s="62"/>
      <c r="N50" s="63"/>
      <c r="O50" s="64"/>
      <c r="P50" s="71"/>
      <c r="Q50" s="72"/>
      <c r="S50" s="1" t="str">
        <f t="shared" si="1"/>
        <v>B</v>
      </c>
    </row>
    <row r="51" spans="1:19" x14ac:dyDescent="0.55000000000000004">
      <c r="A51" s="1" t="e">
        <f>IF(#REF!="","",#REF!)</f>
        <v>#REF!</v>
      </c>
      <c r="C51" s="70" t="s">
        <v>190</v>
      </c>
      <c r="D51" s="58"/>
      <c r="E51" s="59"/>
      <c r="F51" s="59"/>
      <c r="G51" s="59"/>
      <c r="H51" s="60"/>
      <c r="I51" s="32"/>
      <c r="J51" s="60"/>
      <c r="K51" s="61"/>
      <c r="L51" s="32"/>
      <c r="M51" s="62"/>
      <c r="N51" s="63"/>
      <c r="O51" s="64"/>
      <c r="P51" s="71"/>
      <c r="Q51" s="72"/>
      <c r="S51" s="1" t="str">
        <f t="shared" si="1"/>
        <v>B</v>
      </c>
    </row>
    <row r="52" spans="1:19" x14ac:dyDescent="0.55000000000000004">
      <c r="A52" s="1" t="e">
        <f>IF(#REF!="","",#REF!)</f>
        <v>#REF!</v>
      </c>
      <c r="C52" s="70" t="s">
        <v>191</v>
      </c>
      <c r="D52" s="58"/>
      <c r="E52" s="59"/>
      <c r="F52" s="59"/>
      <c r="G52" s="59"/>
      <c r="H52" s="60"/>
      <c r="I52" s="32"/>
      <c r="J52" s="60"/>
      <c r="K52" s="61"/>
      <c r="L52" s="32"/>
      <c r="M52" s="62"/>
      <c r="N52" s="63"/>
      <c r="O52" s="64"/>
      <c r="P52" s="71"/>
      <c r="Q52" s="72"/>
      <c r="S52" s="1" t="str">
        <f t="shared" si="1"/>
        <v>B</v>
      </c>
    </row>
    <row r="53" spans="1:19" x14ac:dyDescent="0.55000000000000004">
      <c r="A53" s="1" t="e">
        <f>IF(#REF!="","",#REF!)</f>
        <v>#REF!</v>
      </c>
      <c r="C53" s="70" t="s">
        <v>192</v>
      </c>
      <c r="D53" s="58"/>
      <c r="E53" s="59"/>
      <c r="F53" s="59"/>
      <c r="G53" s="59"/>
      <c r="H53" s="60"/>
      <c r="I53" s="32"/>
      <c r="J53" s="60"/>
      <c r="K53" s="61"/>
      <c r="L53" s="32"/>
      <c r="M53" s="62"/>
      <c r="N53" s="63"/>
      <c r="O53" s="64"/>
      <c r="P53" s="71"/>
      <c r="Q53" s="72"/>
      <c r="S53" s="1" t="str">
        <f t="shared" si="1"/>
        <v>B</v>
      </c>
    </row>
    <row r="54" spans="1:19" x14ac:dyDescent="0.55000000000000004">
      <c r="A54" s="1" t="e">
        <f>IF(#REF!="","",#REF!)</f>
        <v>#REF!</v>
      </c>
      <c r="C54" s="70" t="s">
        <v>193</v>
      </c>
      <c r="D54" s="58"/>
      <c r="E54" s="59"/>
      <c r="F54" s="59"/>
      <c r="G54" s="59"/>
      <c r="H54" s="60"/>
      <c r="I54" s="32"/>
      <c r="J54" s="60"/>
      <c r="K54" s="61"/>
      <c r="L54" s="32"/>
      <c r="M54" s="62"/>
      <c r="N54" s="63"/>
      <c r="O54" s="64"/>
      <c r="P54" s="71"/>
      <c r="Q54" s="72"/>
      <c r="S54" s="1" t="str">
        <f t="shared" si="1"/>
        <v>B</v>
      </c>
    </row>
    <row r="55" spans="1:19" x14ac:dyDescent="0.55000000000000004">
      <c r="A55" s="1" t="e">
        <f>IF(#REF!="","",#REF!)</f>
        <v>#REF!</v>
      </c>
      <c r="C55" s="70" t="s">
        <v>194</v>
      </c>
      <c r="D55" s="58"/>
      <c r="E55" s="59"/>
      <c r="F55" s="59"/>
      <c r="G55" s="59"/>
      <c r="H55" s="60"/>
      <c r="I55" s="32"/>
      <c r="J55" s="60"/>
      <c r="K55" s="61"/>
      <c r="L55" s="32"/>
      <c r="M55" s="62"/>
      <c r="N55" s="63"/>
      <c r="O55" s="64"/>
      <c r="P55" s="71"/>
      <c r="Q55" s="72"/>
      <c r="S55" s="1" t="str">
        <f t="shared" si="1"/>
        <v>B</v>
      </c>
    </row>
    <row r="56" spans="1:19" x14ac:dyDescent="0.55000000000000004">
      <c r="A56" s="1" t="e">
        <f>IF(#REF!="","",#REF!)</f>
        <v>#REF!</v>
      </c>
      <c r="C56" s="70" t="s">
        <v>195</v>
      </c>
      <c r="D56" s="58"/>
      <c r="E56" s="59"/>
      <c r="F56" s="59"/>
      <c r="G56" s="59"/>
      <c r="H56" s="60"/>
      <c r="I56" s="32"/>
      <c r="J56" s="60"/>
      <c r="K56" s="61"/>
      <c r="L56" s="32"/>
      <c r="M56" s="62"/>
      <c r="N56" s="63"/>
      <c r="O56" s="64"/>
      <c r="P56" s="71"/>
      <c r="Q56" s="72"/>
      <c r="S56" s="1" t="str">
        <f t="shared" si="1"/>
        <v>B</v>
      </c>
    </row>
    <row r="57" spans="1:19" x14ac:dyDescent="0.55000000000000004">
      <c r="A57" s="1" t="e">
        <f>IF(#REF!="","",#REF!)</f>
        <v>#REF!</v>
      </c>
      <c r="C57" s="70" t="s">
        <v>196</v>
      </c>
      <c r="D57" s="58"/>
      <c r="E57" s="59"/>
      <c r="F57" s="59"/>
      <c r="G57" s="59"/>
      <c r="H57" s="60"/>
      <c r="I57" s="32"/>
      <c r="J57" s="60"/>
      <c r="K57" s="61"/>
      <c r="L57" s="32"/>
      <c r="M57" s="62"/>
      <c r="N57" s="63"/>
      <c r="O57" s="64"/>
      <c r="P57" s="71"/>
      <c r="Q57" s="72"/>
      <c r="S57" s="1" t="str">
        <f t="shared" si="1"/>
        <v>B</v>
      </c>
    </row>
    <row r="58" spans="1:19" x14ac:dyDescent="0.55000000000000004">
      <c r="A58" s="1" t="e">
        <f>IF(#REF!="","",#REF!)</f>
        <v>#REF!</v>
      </c>
      <c r="C58" s="70" t="s">
        <v>197</v>
      </c>
      <c r="D58" s="58"/>
      <c r="E58" s="59"/>
      <c r="F58" s="59"/>
      <c r="G58" s="59"/>
      <c r="H58" s="60"/>
      <c r="I58" s="32"/>
      <c r="J58" s="60"/>
      <c r="K58" s="61"/>
      <c r="L58" s="32"/>
      <c r="M58" s="62"/>
      <c r="N58" s="63"/>
      <c r="O58" s="64"/>
      <c r="P58" s="71"/>
      <c r="Q58" s="72"/>
      <c r="S58" s="1" t="str">
        <f t="shared" si="1"/>
        <v>B</v>
      </c>
    </row>
    <row r="59" spans="1:19" x14ac:dyDescent="0.55000000000000004">
      <c r="A59" s="1" t="e">
        <f>IF(#REF!="","",#REF!)</f>
        <v>#REF!</v>
      </c>
      <c r="C59" s="70" t="s">
        <v>198</v>
      </c>
      <c r="D59" s="58"/>
      <c r="E59" s="59"/>
      <c r="F59" s="59"/>
      <c r="G59" s="59"/>
      <c r="H59" s="60"/>
      <c r="I59" s="32"/>
      <c r="J59" s="60"/>
      <c r="K59" s="61"/>
      <c r="L59" s="32"/>
      <c r="M59" s="62"/>
      <c r="N59" s="63"/>
      <c r="O59" s="64"/>
      <c r="P59" s="71"/>
      <c r="Q59" s="72"/>
      <c r="S59" s="1" t="str">
        <f t="shared" si="1"/>
        <v>B</v>
      </c>
    </row>
    <row r="60" spans="1:19" x14ac:dyDescent="0.55000000000000004">
      <c r="A60" s="1" t="e">
        <f>IF(#REF!="","",#REF!)</f>
        <v>#REF!</v>
      </c>
      <c r="C60" s="70" t="s">
        <v>199</v>
      </c>
      <c r="D60" s="58"/>
      <c r="E60" s="59"/>
      <c r="F60" s="59"/>
      <c r="G60" s="59"/>
      <c r="H60" s="60"/>
      <c r="I60" s="32"/>
      <c r="J60" s="60"/>
      <c r="K60" s="61"/>
      <c r="L60" s="32"/>
      <c r="M60" s="62"/>
      <c r="N60" s="63"/>
      <c r="O60" s="64"/>
      <c r="P60" s="71"/>
      <c r="Q60" s="72"/>
      <c r="S60" s="1" t="str">
        <f t="shared" si="1"/>
        <v>B</v>
      </c>
    </row>
    <row r="61" spans="1:19" x14ac:dyDescent="0.55000000000000004">
      <c r="A61" s="1" t="e">
        <f>IF(#REF!="","",#REF!)</f>
        <v>#REF!</v>
      </c>
      <c r="C61" s="70" t="s">
        <v>200</v>
      </c>
      <c r="D61" s="58"/>
      <c r="E61" s="59"/>
      <c r="F61" s="59"/>
      <c r="G61" s="59"/>
      <c r="H61" s="60"/>
      <c r="I61" s="32"/>
      <c r="J61" s="60"/>
      <c r="K61" s="61"/>
      <c r="L61" s="32"/>
      <c r="M61" s="62"/>
      <c r="N61" s="63"/>
      <c r="O61" s="64"/>
      <c r="P61" s="71"/>
      <c r="Q61" s="72"/>
      <c r="S61" s="1" t="str">
        <f t="shared" si="1"/>
        <v>B</v>
      </c>
    </row>
    <row r="62" spans="1:19" x14ac:dyDescent="0.55000000000000004">
      <c r="A62" s="1" t="e">
        <f>IF(#REF!="","",#REF!)</f>
        <v>#REF!</v>
      </c>
      <c r="C62" s="70" t="s">
        <v>201</v>
      </c>
      <c r="D62" s="58"/>
      <c r="E62" s="59"/>
      <c r="F62" s="59"/>
      <c r="G62" s="59"/>
      <c r="H62" s="60"/>
      <c r="I62" s="32"/>
      <c r="J62" s="60"/>
      <c r="K62" s="61"/>
      <c r="L62" s="32"/>
      <c r="M62" s="62"/>
      <c r="N62" s="63"/>
      <c r="O62" s="64"/>
      <c r="P62" s="71"/>
      <c r="Q62" s="72"/>
      <c r="S62" s="1" t="str">
        <f t="shared" si="1"/>
        <v>B</v>
      </c>
    </row>
    <row r="63" spans="1:19" x14ac:dyDescent="0.55000000000000004">
      <c r="A63" s="1" t="e">
        <f>IF(#REF!="","",#REF!)</f>
        <v>#REF!</v>
      </c>
      <c r="C63" s="70" t="s">
        <v>202</v>
      </c>
      <c r="D63" s="58"/>
      <c r="E63" s="59"/>
      <c r="F63" s="59"/>
      <c r="G63" s="59"/>
      <c r="H63" s="60"/>
      <c r="I63" s="32"/>
      <c r="J63" s="60"/>
      <c r="K63" s="61"/>
      <c r="L63" s="32"/>
      <c r="M63" s="62"/>
      <c r="N63" s="63"/>
      <c r="O63" s="64"/>
      <c r="P63" s="71"/>
      <c r="Q63" s="72"/>
      <c r="S63" s="1" t="str">
        <f t="shared" si="1"/>
        <v>B</v>
      </c>
    </row>
    <row r="64" spans="1:19" x14ac:dyDescent="0.55000000000000004">
      <c r="A64" s="1" t="e">
        <f>IF(#REF!="","",#REF!)</f>
        <v>#REF!</v>
      </c>
      <c r="C64" s="70" t="s">
        <v>203</v>
      </c>
      <c r="D64" s="58"/>
      <c r="E64" s="59"/>
      <c r="F64" s="59"/>
      <c r="G64" s="59"/>
      <c r="H64" s="60"/>
      <c r="I64" s="32"/>
      <c r="J64" s="60"/>
      <c r="K64" s="61"/>
      <c r="L64" s="32"/>
      <c r="M64" s="62"/>
      <c r="N64" s="63"/>
      <c r="O64" s="64"/>
      <c r="P64" s="71"/>
      <c r="Q64" s="72"/>
      <c r="S64" s="1" t="str">
        <f t="shared" si="1"/>
        <v>B</v>
      </c>
    </row>
    <row r="65" spans="1:19" x14ac:dyDescent="0.55000000000000004">
      <c r="A65" s="1" t="e">
        <f>IF(#REF!="","",#REF!)</f>
        <v>#REF!</v>
      </c>
      <c r="C65" s="70" t="s">
        <v>204</v>
      </c>
      <c r="D65" s="58"/>
      <c r="E65" s="59"/>
      <c r="F65" s="59"/>
      <c r="G65" s="59"/>
      <c r="H65" s="60"/>
      <c r="I65" s="32"/>
      <c r="J65" s="60"/>
      <c r="K65" s="61"/>
      <c r="L65" s="32"/>
      <c r="M65" s="62"/>
      <c r="N65" s="63"/>
      <c r="O65" s="64"/>
      <c r="P65" s="71"/>
      <c r="Q65" s="72"/>
      <c r="S65" s="1" t="str">
        <f t="shared" si="1"/>
        <v>B</v>
      </c>
    </row>
    <row r="66" spans="1:19" x14ac:dyDescent="0.55000000000000004">
      <c r="A66" s="1" t="e">
        <f>IF(#REF!="","",#REF!)</f>
        <v>#REF!</v>
      </c>
      <c r="C66" s="70" t="s">
        <v>205</v>
      </c>
      <c r="D66" s="58"/>
      <c r="E66" s="59"/>
      <c r="F66" s="59"/>
      <c r="G66" s="59"/>
      <c r="H66" s="60"/>
      <c r="I66" s="32"/>
      <c r="J66" s="60"/>
      <c r="K66" s="61"/>
      <c r="L66" s="32"/>
      <c r="M66" s="62"/>
      <c r="N66" s="63"/>
      <c r="O66" s="64"/>
      <c r="P66" s="71"/>
      <c r="Q66" s="72"/>
      <c r="S66" s="1" t="str">
        <f t="shared" si="1"/>
        <v>B</v>
      </c>
    </row>
    <row r="67" spans="1:19" x14ac:dyDescent="0.55000000000000004">
      <c r="A67" s="1" t="e">
        <f>IF(#REF!="","",#REF!)</f>
        <v>#REF!</v>
      </c>
      <c r="C67" s="70" t="s">
        <v>206</v>
      </c>
      <c r="D67" s="58"/>
      <c r="E67" s="59"/>
      <c r="F67" s="59"/>
      <c r="G67" s="59"/>
      <c r="H67" s="60"/>
      <c r="I67" s="32"/>
      <c r="J67" s="60"/>
      <c r="K67" s="61"/>
      <c r="L67" s="32"/>
      <c r="M67" s="62"/>
      <c r="N67" s="63"/>
      <c r="O67" s="64"/>
      <c r="P67" s="71"/>
      <c r="Q67" s="72"/>
      <c r="S67" s="1" t="str">
        <f t="shared" si="1"/>
        <v>B</v>
      </c>
    </row>
    <row r="68" spans="1:19" x14ac:dyDescent="0.55000000000000004">
      <c r="A68" s="1" t="e">
        <f>IF(#REF!="","",#REF!)</f>
        <v>#REF!</v>
      </c>
      <c r="C68" s="70" t="s">
        <v>207</v>
      </c>
      <c r="D68" s="58"/>
      <c r="E68" s="59"/>
      <c r="F68" s="59"/>
      <c r="G68" s="59"/>
      <c r="H68" s="60"/>
      <c r="I68" s="32"/>
      <c r="J68" s="60"/>
      <c r="K68" s="61"/>
      <c r="L68" s="32"/>
      <c r="M68" s="62"/>
      <c r="N68" s="63"/>
      <c r="O68" s="64"/>
      <c r="P68" s="71"/>
      <c r="Q68" s="72"/>
      <c r="S68" s="1" t="str">
        <f t="shared" si="1"/>
        <v>B</v>
      </c>
    </row>
    <row r="69" spans="1:19" x14ac:dyDescent="0.55000000000000004">
      <c r="A69" s="1" t="e">
        <f>IF(#REF!="","",#REF!)</f>
        <v>#REF!</v>
      </c>
      <c r="C69" s="70" t="s">
        <v>208</v>
      </c>
      <c r="D69" s="58"/>
      <c r="E69" s="59"/>
      <c r="F69" s="59"/>
      <c r="G69" s="59"/>
      <c r="H69" s="60"/>
      <c r="I69" s="32"/>
      <c r="J69" s="60"/>
      <c r="K69" s="61"/>
      <c r="L69" s="32"/>
      <c r="M69" s="62"/>
      <c r="N69" s="63"/>
      <c r="O69" s="64"/>
      <c r="P69" s="71"/>
      <c r="Q69" s="72"/>
      <c r="S69" s="1" t="str">
        <f t="shared" si="1"/>
        <v>B</v>
      </c>
    </row>
    <row r="70" spans="1:19" x14ac:dyDescent="0.55000000000000004">
      <c r="A70" s="1" t="e">
        <f>IF(#REF!="","",#REF!)</f>
        <v>#REF!</v>
      </c>
      <c r="C70" s="70" t="s">
        <v>209</v>
      </c>
      <c r="D70" s="58"/>
      <c r="E70" s="59"/>
      <c r="F70" s="59"/>
      <c r="G70" s="59"/>
      <c r="H70" s="60"/>
      <c r="I70" s="32"/>
      <c r="J70" s="60"/>
      <c r="K70" s="61"/>
      <c r="L70" s="32"/>
      <c r="M70" s="62"/>
      <c r="N70" s="63"/>
      <c r="O70" s="64"/>
      <c r="P70" s="71"/>
      <c r="Q70" s="72"/>
      <c r="S70" s="1" t="str">
        <f t="shared" si="1"/>
        <v>B</v>
      </c>
    </row>
    <row r="71" spans="1:19" x14ac:dyDescent="0.55000000000000004">
      <c r="A71" s="1" t="e">
        <f>IF(#REF!="","",#REF!)</f>
        <v>#REF!</v>
      </c>
      <c r="C71" s="70" t="s">
        <v>210</v>
      </c>
      <c r="D71" s="58"/>
      <c r="E71" s="59"/>
      <c r="F71" s="59"/>
      <c r="G71" s="59"/>
      <c r="H71" s="60"/>
      <c r="I71" s="32"/>
      <c r="J71" s="60"/>
      <c r="K71" s="61"/>
      <c r="L71" s="32"/>
      <c r="M71" s="62"/>
      <c r="N71" s="63"/>
      <c r="O71" s="64"/>
      <c r="P71" s="71"/>
      <c r="Q71" s="72"/>
      <c r="S71" s="1" t="str">
        <f t="shared" si="1"/>
        <v>B</v>
      </c>
    </row>
    <row r="72" spans="1:19" x14ac:dyDescent="0.55000000000000004">
      <c r="A72" s="1" t="e">
        <f>IF(#REF!="","",#REF!)</f>
        <v>#REF!</v>
      </c>
      <c r="C72" s="70" t="s">
        <v>211</v>
      </c>
      <c r="D72" s="58"/>
      <c r="E72" s="59"/>
      <c r="F72" s="59"/>
      <c r="G72" s="59"/>
      <c r="H72" s="60"/>
      <c r="I72" s="32"/>
      <c r="J72" s="60"/>
      <c r="K72" s="61"/>
      <c r="L72" s="32"/>
      <c r="M72" s="62"/>
      <c r="N72" s="63"/>
      <c r="O72" s="64"/>
      <c r="P72" s="71"/>
      <c r="Q72" s="72"/>
      <c r="S72" s="1" t="str">
        <f t="shared" si="1"/>
        <v>B</v>
      </c>
    </row>
    <row r="73" spans="1:19" x14ac:dyDescent="0.55000000000000004">
      <c r="A73" s="1" t="e">
        <f>IF(#REF!="","",#REF!)</f>
        <v>#REF!</v>
      </c>
      <c r="C73" s="70" t="s">
        <v>212</v>
      </c>
      <c r="D73" s="58"/>
      <c r="E73" s="59"/>
      <c r="F73" s="59"/>
      <c r="G73" s="59"/>
      <c r="H73" s="60"/>
      <c r="I73" s="32"/>
      <c r="J73" s="60"/>
      <c r="K73" s="61"/>
      <c r="L73" s="32"/>
      <c r="M73" s="62"/>
      <c r="N73" s="63"/>
      <c r="O73" s="64"/>
      <c r="P73" s="71"/>
      <c r="Q73" s="72"/>
      <c r="S73" s="1" t="str">
        <f t="shared" si="1"/>
        <v>B</v>
      </c>
    </row>
    <row r="74" spans="1:19" x14ac:dyDescent="0.55000000000000004">
      <c r="A74" s="1" t="e">
        <f>IF(#REF!="","",#REF!)</f>
        <v>#REF!</v>
      </c>
      <c r="C74" s="70" t="s">
        <v>213</v>
      </c>
      <c r="D74" s="58"/>
      <c r="E74" s="59"/>
      <c r="F74" s="59"/>
      <c r="G74" s="59"/>
      <c r="H74" s="60"/>
      <c r="I74" s="32"/>
      <c r="J74" s="60"/>
      <c r="K74" s="61"/>
      <c r="L74" s="32"/>
      <c r="M74" s="62"/>
      <c r="N74" s="63"/>
      <c r="O74" s="64"/>
      <c r="P74" s="71"/>
      <c r="Q74" s="72"/>
      <c r="S74" s="1" t="str">
        <f t="shared" si="1"/>
        <v>B</v>
      </c>
    </row>
    <row r="75" spans="1:19" x14ac:dyDescent="0.55000000000000004">
      <c r="A75" s="1" t="e">
        <f>IF(#REF!="","",#REF!)</f>
        <v>#REF!</v>
      </c>
      <c r="C75" s="70" t="s">
        <v>214</v>
      </c>
      <c r="D75" s="58"/>
      <c r="E75" s="59"/>
      <c r="F75" s="59"/>
      <c r="G75" s="59"/>
      <c r="H75" s="60"/>
      <c r="I75" s="32"/>
      <c r="J75" s="60"/>
      <c r="K75" s="61"/>
      <c r="L75" s="32"/>
      <c r="M75" s="62"/>
      <c r="N75" s="63"/>
      <c r="O75" s="64"/>
      <c r="P75" s="71"/>
      <c r="Q75" s="72"/>
      <c r="S75" s="1" t="str">
        <f t="shared" si="1"/>
        <v>B</v>
      </c>
    </row>
    <row r="76" spans="1:19" x14ac:dyDescent="0.55000000000000004">
      <c r="A76" s="1" t="e">
        <f>IF(#REF!="","",#REF!)</f>
        <v>#REF!</v>
      </c>
      <c r="C76" s="70" t="s">
        <v>215</v>
      </c>
      <c r="D76" s="58"/>
      <c r="E76" s="59"/>
      <c r="F76" s="59"/>
      <c r="G76" s="59"/>
      <c r="H76" s="60"/>
      <c r="I76" s="32"/>
      <c r="J76" s="60"/>
      <c r="K76" s="61"/>
      <c r="L76" s="32"/>
      <c r="M76" s="62"/>
      <c r="N76" s="63"/>
      <c r="O76" s="64"/>
      <c r="P76" s="71"/>
      <c r="Q76" s="72"/>
      <c r="S76" s="1" t="str">
        <f t="shared" si="1"/>
        <v>B</v>
      </c>
    </row>
    <row r="77" spans="1:19" x14ac:dyDescent="0.55000000000000004">
      <c r="A77" s="1" t="e">
        <f>IF(#REF!="","",#REF!)</f>
        <v>#REF!</v>
      </c>
      <c r="C77" s="70" t="s">
        <v>216</v>
      </c>
      <c r="D77" s="58"/>
      <c r="E77" s="59"/>
      <c r="F77" s="59"/>
      <c r="G77" s="59"/>
      <c r="H77" s="60"/>
      <c r="I77" s="32"/>
      <c r="J77" s="60"/>
      <c r="K77" s="61"/>
      <c r="L77" s="32"/>
      <c r="M77" s="62"/>
      <c r="N77" s="63"/>
      <c r="O77" s="64"/>
      <c r="P77" s="71"/>
      <c r="Q77" s="72"/>
      <c r="S77" s="1" t="str">
        <f t="shared" si="1"/>
        <v>B</v>
      </c>
    </row>
    <row r="78" spans="1:19" x14ac:dyDescent="0.55000000000000004">
      <c r="A78" s="1" t="e">
        <f>IF(#REF!="","",#REF!)</f>
        <v>#REF!</v>
      </c>
      <c r="C78" s="70" t="s">
        <v>217</v>
      </c>
      <c r="D78" s="58"/>
      <c r="E78" s="59"/>
      <c r="F78" s="59"/>
      <c r="G78" s="59"/>
      <c r="H78" s="60"/>
      <c r="I78" s="32"/>
      <c r="J78" s="60"/>
      <c r="K78" s="61"/>
      <c r="L78" s="32"/>
      <c r="M78" s="62"/>
      <c r="N78" s="63"/>
      <c r="O78" s="64"/>
      <c r="P78" s="71"/>
      <c r="Q78" s="72"/>
      <c r="S78" s="1" t="str">
        <f t="shared" si="1"/>
        <v>B</v>
      </c>
    </row>
    <row r="79" spans="1:19" x14ac:dyDescent="0.55000000000000004">
      <c r="A79" s="1" t="e">
        <f>IF(#REF!="","",#REF!)</f>
        <v>#REF!</v>
      </c>
      <c r="C79" s="70" t="s">
        <v>218</v>
      </c>
      <c r="D79" s="58"/>
      <c r="E79" s="59"/>
      <c r="F79" s="59"/>
      <c r="G79" s="59"/>
      <c r="H79" s="60"/>
      <c r="I79" s="32"/>
      <c r="J79" s="60"/>
      <c r="K79" s="61"/>
      <c r="L79" s="32"/>
      <c r="M79" s="62"/>
      <c r="N79" s="63"/>
      <c r="O79" s="64"/>
      <c r="P79" s="71"/>
      <c r="Q79" s="72"/>
      <c r="S79" s="1" t="str">
        <f t="shared" si="1"/>
        <v>B</v>
      </c>
    </row>
    <row r="80" spans="1:19" x14ac:dyDescent="0.55000000000000004">
      <c r="A80" s="1" t="e">
        <f>IF(#REF!="","",#REF!)</f>
        <v>#REF!</v>
      </c>
      <c r="C80" s="70" t="s">
        <v>219</v>
      </c>
      <c r="D80" s="58"/>
      <c r="E80" s="59"/>
      <c r="F80" s="59"/>
      <c r="G80" s="59"/>
      <c r="H80" s="60"/>
      <c r="I80" s="32"/>
      <c r="J80" s="60"/>
      <c r="K80" s="61"/>
      <c r="L80" s="32"/>
      <c r="M80" s="62"/>
      <c r="N80" s="63"/>
      <c r="O80" s="64"/>
      <c r="P80" s="71"/>
      <c r="Q80" s="72"/>
      <c r="S80" s="1" t="str">
        <f t="shared" si="1"/>
        <v>B</v>
      </c>
    </row>
    <row r="81" spans="1:19" x14ac:dyDescent="0.55000000000000004">
      <c r="A81" s="1" t="e">
        <f>IF(#REF!="","",#REF!)</f>
        <v>#REF!</v>
      </c>
      <c r="C81" s="70" t="s">
        <v>220</v>
      </c>
      <c r="D81" s="58"/>
      <c r="E81" s="59"/>
      <c r="F81" s="59"/>
      <c r="G81" s="59"/>
      <c r="H81" s="60"/>
      <c r="I81" s="32"/>
      <c r="J81" s="60"/>
      <c r="K81" s="61"/>
      <c r="L81" s="32"/>
      <c r="M81" s="62"/>
      <c r="N81" s="63"/>
      <c r="O81" s="64"/>
      <c r="P81" s="71"/>
      <c r="Q81" s="72"/>
      <c r="S81" s="1" t="str">
        <f t="shared" si="1"/>
        <v>B</v>
      </c>
    </row>
    <row r="82" spans="1:19" x14ac:dyDescent="0.55000000000000004">
      <c r="A82" s="1" t="e">
        <f>IF(#REF!="","",#REF!)</f>
        <v>#REF!</v>
      </c>
      <c r="C82" s="70" t="s">
        <v>221</v>
      </c>
      <c r="D82" s="58"/>
      <c r="E82" s="59"/>
      <c r="F82" s="59"/>
      <c r="G82" s="59"/>
      <c r="H82" s="60"/>
      <c r="I82" s="32"/>
      <c r="J82" s="60"/>
      <c r="K82" s="61"/>
      <c r="L82" s="32"/>
      <c r="M82" s="62"/>
      <c r="N82" s="63"/>
      <c r="O82" s="64"/>
      <c r="P82" s="71"/>
      <c r="Q82" s="72"/>
      <c r="S82" s="1" t="str">
        <f t="shared" si="1"/>
        <v>B</v>
      </c>
    </row>
    <row r="83" spans="1:19" x14ac:dyDescent="0.55000000000000004">
      <c r="A83" s="1" t="e">
        <f>IF(#REF!="","",#REF!)</f>
        <v>#REF!</v>
      </c>
      <c r="C83" s="70" t="s">
        <v>222</v>
      </c>
      <c r="D83" s="58"/>
      <c r="E83" s="59"/>
      <c r="F83" s="59"/>
      <c r="G83" s="59"/>
      <c r="H83" s="60"/>
      <c r="I83" s="32"/>
      <c r="J83" s="60"/>
      <c r="K83" s="61"/>
      <c r="L83" s="32"/>
      <c r="M83" s="62"/>
      <c r="N83" s="63"/>
      <c r="O83" s="64"/>
      <c r="P83" s="71"/>
      <c r="Q83" s="72"/>
      <c r="S83" s="1" t="str">
        <f t="shared" si="1"/>
        <v>B</v>
      </c>
    </row>
    <row r="84" spans="1:19" x14ac:dyDescent="0.55000000000000004">
      <c r="A84" s="1" t="e">
        <f>IF(#REF!="","",#REF!)</f>
        <v>#REF!</v>
      </c>
      <c r="C84" s="70" t="s">
        <v>223</v>
      </c>
      <c r="D84" s="58"/>
      <c r="E84" s="59"/>
      <c r="F84" s="59"/>
      <c r="G84" s="59"/>
      <c r="H84" s="60"/>
      <c r="I84" s="32"/>
      <c r="J84" s="60"/>
      <c r="K84" s="61"/>
      <c r="L84" s="32"/>
      <c r="M84" s="62"/>
      <c r="N84" s="63"/>
      <c r="O84" s="64"/>
      <c r="P84" s="71"/>
      <c r="Q84" s="72"/>
      <c r="S84" s="1" t="str">
        <f t="shared" si="1"/>
        <v>B</v>
      </c>
    </row>
    <row r="85" spans="1:19" x14ac:dyDescent="0.55000000000000004">
      <c r="A85" s="1" t="e">
        <f>IF(#REF!="","",#REF!)</f>
        <v>#REF!</v>
      </c>
      <c r="C85" s="70" t="s">
        <v>224</v>
      </c>
      <c r="D85" s="58"/>
      <c r="E85" s="59"/>
      <c r="F85" s="59"/>
      <c r="G85" s="59"/>
      <c r="H85" s="60"/>
      <c r="I85" s="32"/>
      <c r="J85" s="60"/>
      <c r="K85" s="61"/>
      <c r="L85" s="32"/>
      <c r="M85" s="62"/>
      <c r="N85" s="63"/>
      <c r="O85" s="64"/>
      <c r="P85" s="71"/>
      <c r="Q85" s="72"/>
      <c r="S85" s="1" t="str">
        <f t="shared" si="1"/>
        <v>B</v>
      </c>
    </row>
    <row r="86" spans="1:19" x14ac:dyDescent="0.55000000000000004">
      <c r="A86" s="1" t="e">
        <f>IF(#REF!="","",#REF!)</f>
        <v>#REF!</v>
      </c>
      <c r="C86" s="70" t="s">
        <v>225</v>
      </c>
      <c r="D86" s="58"/>
      <c r="E86" s="59"/>
      <c r="F86" s="59"/>
      <c r="G86" s="59"/>
      <c r="H86" s="60"/>
      <c r="I86" s="32"/>
      <c r="J86" s="60"/>
      <c r="K86" s="61"/>
      <c r="L86" s="32"/>
      <c r="M86" s="62"/>
      <c r="N86" s="63"/>
      <c r="O86" s="64"/>
      <c r="P86" s="71"/>
      <c r="Q86" s="72"/>
      <c r="S86" s="1" t="str">
        <f t="shared" si="1"/>
        <v>B</v>
      </c>
    </row>
    <row r="87" spans="1:19" x14ac:dyDescent="0.55000000000000004">
      <c r="A87" s="1" t="e">
        <f>IF(#REF!="","",#REF!)</f>
        <v>#REF!</v>
      </c>
      <c r="C87" s="70" t="s">
        <v>226</v>
      </c>
      <c r="D87" s="58"/>
      <c r="E87" s="59"/>
      <c r="F87" s="59"/>
      <c r="G87" s="59"/>
      <c r="H87" s="60"/>
      <c r="I87" s="32"/>
      <c r="J87" s="60"/>
      <c r="K87" s="61"/>
      <c r="L87" s="32"/>
      <c r="M87" s="62"/>
      <c r="N87" s="63"/>
      <c r="O87" s="64"/>
      <c r="P87" s="71"/>
      <c r="Q87" s="72"/>
      <c r="S87" s="1" t="str">
        <f t="shared" si="1"/>
        <v>B</v>
      </c>
    </row>
    <row r="88" spans="1:19" x14ac:dyDescent="0.55000000000000004">
      <c r="A88" s="1" t="e">
        <f>IF(#REF!="","",#REF!)</f>
        <v>#REF!</v>
      </c>
      <c r="C88" s="70" t="s">
        <v>227</v>
      </c>
      <c r="D88" s="58"/>
      <c r="E88" s="59"/>
      <c r="F88" s="59"/>
      <c r="G88" s="59"/>
      <c r="H88" s="60"/>
      <c r="I88" s="32"/>
      <c r="J88" s="60"/>
      <c r="K88" s="61"/>
      <c r="L88" s="32"/>
      <c r="M88" s="62"/>
      <c r="N88" s="63"/>
      <c r="O88" s="64"/>
      <c r="P88" s="71"/>
      <c r="Q88" s="72"/>
      <c r="S88" s="1" t="str">
        <f t="shared" si="1"/>
        <v>B</v>
      </c>
    </row>
    <row r="89" spans="1:19" x14ac:dyDescent="0.55000000000000004">
      <c r="A89" s="1" t="e">
        <f>IF(#REF!="","",#REF!)</f>
        <v>#REF!</v>
      </c>
      <c r="C89" s="70" t="s">
        <v>228</v>
      </c>
      <c r="D89" s="58"/>
      <c r="E89" s="59"/>
      <c r="F89" s="59"/>
      <c r="G89" s="59"/>
      <c r="H89" s="60"/>
      <c r="I89" s="32"/>
      <c r="J89" s="60"/>
      <c r="K89" s="61"/>
      <c r="L89" s="32"/>
      <c r="M89" s="62"/>
      <c r="N89" s="63"/>
      <c r="O89" s="64"/>
      <c r="P89" s="71"/>
      <c r="Q89" s="72"/>
      <c r="S89" s="1" t="str">
        <f t="shared" si="1"/>
        <v>B</v>
      </c>
    </row>
    <row r="90" spans="1:19" x14ac:dyDescent="0.55000000000000004">
      <c r="A90" s="1" t="e">
        <f>IF(#REF!="","",#REF!)</f>
        <v>#REF!</v>
      </c>
      <c r="C90" s="70" t="s">
        <v>229</v>
      </c>
      <c r="D90" s="58"/>
      <c r="E90" s="59"/>
      <c r="F90" s="59"/>
      <c r="G90" s="59"/>
      <c r="H90" s="60"/>
      <c r="I90" s="32"/>
      <c r="J90" s="60"/>
      <c r="K90" s="61"/>
      <c r="L90" s="32"/>
      <c r="M90" s="62"/>
      <c r="N90" s="63"/>
      <c r="O90" s="64"/>
      <c r="P90" s="71"/>
      <c r="Q90" s="72"/>
      <c r="S90" s="1" t="str">
        <f t="shared" si="1"/>
        <v>B</v>
      </c>
    </row>
    <row r="91" spans="1:19" x14ac:dyDescent="0.55000000000000004">
      <c r="A91" s="1" t="e">
        <f>IF(#REF!="","",#REF!)</f>
        <v>#REF!</v>
      </c>
      <c r="C91" s="70" t="s">
        <v>230</v>
      </c>
      <c r="D91" s="58"/>
      <c r="E91" s="59"/>
      <c r="F91" s="59"/>
      <c r="G91" s="59"/>
      <c r="H91" s="60"/>
      <c r="I91" s="32"/>
      <c r="J91" s="60"/>
      <c r="K91" s="61"/>
      <c r="L91" s="32"/>
      <c r="M91" s="62"/>
      <c r="N91" s="63"/>
      <c r="O91" s="64"/>
      <c r="P91" s="71"/>
      <c r="Q91" s="72"/>
      <c r="S91" s="1" t="str">
        <f t="shared" si="1"/>
        <v>B</v>
      </c>
    </row>
    <row r="92" spans="1:19" x14ac:dyDescent="0.55000000000000004">
      <c r="A92" s="1" t="e">
        <f>IF(#REF!="","",#REF!)</f>
        <v>#REF!</v>
      </c>
      <c r="C92" s="70" t="s">
        <v>231</v>
      </c>
      <c r="D92" s="58"/>
      <c r="E92" s="59"/>
      <c r="F92" s="59"/>
      <c r="G92" s="59"/>
      <c r="H92" s="60"/>
      <c r="I92" s="32"/>
      <c r="J92" s="60"/>
      <c r="K92" s="61"/>
      <c r="L92" s="32"/>
      <c r="M92" s="62"/>
      <c r="N92" s="63"/>
      <c r="O92" s="64"/>
      <c r="P92" s="71"/>
      <c r="Q92" s="72"/>
      <c r="S92" s="1" t="str">
        <f t="shared" si="1"/>
        <v>B</v>
      </c>
    </row>
    <row r="93" spans="1:19" x14ac:dyDescent="0.55000000000000004">
      <c r="A93" s="1" t="e">
        <f>IF(#REF!="","",#REF!)</f>
        <v>#REF!</v>
      </c>
      <c r="C93" s="70" t="s">
        <v>232</v>
      </c>
      <c r="D93" s="58"/>
      <c r="E93" s="59"/>
      <c r="F93" s="59"/>
      <c r="G93" s="59"/>
      <c r="H93" s="60"/>
      <c r="I93" s="32"/>
      <c r="J93" s="60"/>
      <c r="K93" s="61"/>
      <c r="L93" s="32"/>
      <c r="M93" s="62"/>
      <c r="N93" s="63"/>
      <c r="O93" s="64"/>
      <c r="P93" s="71"/>
      <c r="Q93" s="72"/>
      <c r="S93" s="1" t="str">
        <f t="shared" si="1"/>
        <v>B</v>
      </c>
    </row>
    <row r="94" spans="1:19" x14ac:dyDescent="0.55000000000000004">
      <c r="A94" s="1" t="e">
        <f>IF(#REF!="","",#REF!)</f>
        <v>#REF!</v>
      </c>
      <c r="C94" s="70" t="s">
        <v>233</v>
      </c>
      <c r="D94" s="58"/>
      <c r="E94" s="59"/>
      <c r="F94" s="59"/>
      <c r="G94" s="59"/>
      <c r="H94" s="60"/>
      <c r="I94" s="32"/>
      <c r="J94" s="60"/>
      <c r="K94" s="61"/>
      <c r="L94" s="32"/>
      <c r="M94" s="62"/>
      <c r="N94" s="63"/>
      <c r="O94" s="64"/>
      <c r="P94" s="71"/>
      <c r="Q94" s="72"/>
      <c r="S94" s="1" t="str">
        <f t="shared" si="1"/>
        <v>B</v>
      </c>
    </row>
    <row r="95" spans="1:19" x14ac:dyDescent="0.55000000000000004">
      <c r="A95" s="1" t="e">
        <f>IF(#REF!="","",#REF!)</f>
        <v>#REF!</v>
      </c>
      <c r="C95" s="70" t="s">
        <v>234</v>
      </c>
      <c r="D95" s="58"/>
      <c r="E95" s="59"/>
      <c r="F95" s="59"/>
      <c r="G95" s="59"/>
      <c r="H95" s="60"/>
      <c r="I95" s="32"/>
      <c r="J95" s="60"/>
      <c r="K95" s="61"/>
      <c r="L95" s="32"/>
      <c r="M95" s="62"/>
      <c r="N95" s="63"/>
      <c r="O95" s="64"/>
      <c r="P95" s="71"/>
      <c r="Q95" s="72"/>
      <c r="S95" s="1" t="str">
        <f t="shared" si="1"/>
        <v>B</v>
      </c>
    </row>
    <row r="96" spans="1:19" x14ac:dyDescent="0.55000000000000004">
      <c r="A96" s="1" t="e">
        <f>IF(#REF!="","",#REF!)</f>
        <v>#REF!</v>
      </c>
      <c r="C96" s="70" t="s">
        <v>235</v>
      </c>
      <c r="D96" s="58"/>
      <c r="E96" s="59"/>
      <c r="F96" s="59"/>
      <c r="G96" s="59"/>
      <c r="H96" s="60"/>
      <c r="I96" s="32"/>
      <c r="J96" s="60"/>
      <c r="K96" s="61"/>
      <c r="L96" s="32"/>
      <c r="M96" s="65"/>
      <c r="N96" s="63"/>
      <c r="O96" s="64"/>
      <c r="P96" s="71"/>
      <c r="Q96" s="72"/>
      <c r="S96" s="1" t="str">
        <f t="shared" si="1"/>
        <v>B</v>
      </c>
    </row>
    <row r="97" spans="1:19" x14ac:dyDescent="0.55000000000000004">
      <c r="A97" s="1" t="e">
        <f>IF(#REF!="","",#REF!)</f>
        <v>#REF!</v>
      </c>
      <c r="C97" s="70" t="s">
        <v>236</v>
      </c>
      <c r="D97" s="58"/>
      <c r="E97" s="59"/>
      <c r="F97" s="59"/>
      <c r="G97" s="59"/>
      <c r="H97" s="60"/>
      <c r="I97" s="32"/>
      <c r="J97" s="60"/>
      <c r="K97" s="61"/>
      <c r="L97" s="32"/>
      <c r="M97" s="65"/>
      <c r="N97" s="63"/>
      <c r="O97" s="64"/>
      <c r="P97" s="71"/>
      <c r="Q97" s="72"/>
      <c r="S97" s="1" t="str">
        <f t="shared" si="1"/>
        <v>B</v>
      </c>
    </row>
    <row r="98" spans="1:19" x14ac:dyDescent="0.55000000000000004">
      <c r="A98" s="1" t="e">
        <f>IF(#REF!="","",#REF!)</f>
        <v>#REF!</v>
      </c>
      <c r="C98" s="70" t="s">
        <v>237</v>
      </c>
      <c r="D98" s="58"/>
      <c r="E98" s="59"/>
      <c r="F98" s="59"/>
      <c r="G98" s="59"/>
      <c r="H98" s="60"/>
      <c r="I98" s="32"/>
      <c r="J98" s="60"/>
      <c r="K98" s="61"/>
      <c r="L98" s="32"/>
      <c r="M98" s="65"/>
      <c r="N98" s="63"/>
      <c r="O98" s="64"/>
      <c r="P98" s="71"/>
      <c r="Q98" s="72"/>
      <c r="S98" s="1" t="str">
        <f t="shared" si="1"/>
        <v>B</v>
      </c>
    </row>
    <row r="99" spans="1:19" x14ac:dyDescent="0.55000000000000004">
      <c r="A99" s="1" t="e">
        <f>IF(#REF!="","",#REF!)</f>
        <v>#REF!</v>
      </c>
      <c r="C99" s="70" t="s">
        <v>238</v>
      </c>
      <c r="D99" s="58"/>
      <c r="E99" s="59"/>
      <c r="F99" s="59"/>
      <c r="G99" s="59"/>
      <c r="H99" s="60"/>
      <c r="I99" s="32"/>
      <c r="J99" s="60"/>
      <c r="K99" s="61"/>
      <c r="L99" s="32"/>
      <c r="M99" s="65"/>
      <c r="N99" s="63"/>
      <c r="O99" s="64"/>
      <c r="P99" s="71"/>
      <c r="Q99" s="72"/>
      <c r="S99" s="1" t="str">
        <f t="shared" si="1"/>
        <v>B</v>
      </c>
    </row>
    <row r="100" spans="1:19" x14ac:dyDescent="0.55000000000000004">
      <c r="A100" s="1" t="e">
        <f>IF(#REF!="","",#REF!)</f>
        <v>#REF!</v>
      </c>
      <c r="C100" s="70" t="s">
        <v>239</v>
      </c>
      <c r="D100" s="58"/>
      <c r="E100" s="59"/>
      <c r="F100" s="59"/>
      <c r="G100" s="59"/>
      <c r="H100" s="60"/>
      <c r="I100" s="32"/>
      <c r="J100" s="60"/>
      <c r="K100" s="61"/>
      <c r="L100" s="32"/>
      <c r="M100" s="65"/>
      <c r="N100" s="63"/>
      <c r="O100" s="64"/>
      <c r="P100" s="71"/>
      <c r="Q100" s="72"/>
      <c r="S100" s="1" t="str">
        <f t="shared" si="1"/>
        <v>B</v>
      </c>
    </row>
    <row r="101" spans="1:19" x14ac:dyDescent="0.55000000000000004">
      <c r="A101" s="1" t="e">
        <f>IF(#REF!="","",#REF!)</f>
        <v>#REF!</v>
      </c>
      <c r="C101" s="70" t="s">
        <v>240</v>
      </c>
      <c r="D101" s="58"/>
      <c r="E101" s="59"/>
      <c r="F101" s="59"/>
      <c r="G101" s="59"/>
      <c r="H101" s="60"/>
      <c r="I101" s="32"/>
      <c r="J101" s="60"/>
      <c r="K101" s="61"/>
      <c r="L101" s="32"/>
      <c r="M101" s="65"/>
      <c r="N101" s="63"/>
      <c r="O101" s="64"/>
      <c r="P101" s="71"/>
      <c r="Q101" s="72"/>
      <c r="S101" s="1" t="str">
        <f t="shared" si="1"/>
        <v>B</v>
      </c>
    </row>
    <row r="102" spans="1:19" x14ac:dyDescent="0.55000000000000004">
      <c r="A102" s="1" t="e">
        <f>IF(#REF!="","",#REF!)</f>
        <v>#REF!</v>
      </c>
      <c r="C102" s="70" t="s">
        <v>241</v>
      </c>
      <c r="D102" s="58"/>
      <c r="E102" s="59"/>
      <c r="F102" s="59"/>
      <c r="G102" s="59"/>
      <c r="H102" s="60"/>
      <c r="I102" s="32"/>
      <c r="J102" s="60"/>
      <c r="K102" s="61"/>
      <c r="L102" s="32"/>
      <c r="M102" s="65"/>
      <c r="N102" s="63"/>
      <c r="O102" s="64"/>
      <c r="P102" s="71"/>
      <c r="Q102" s="72"/>
      <c r="S102" s="1" t="str">
        <f t="shared" si="1"/>
        <v>B</v>
      </c>
    </row>
    <row r="103" spans="1:19" x14ac:dyDescent="0.55000000000000004">
      <c r="A103" s="1" t="e">
        <f>IF(#REF!="","",#REF!)</f>
        <v>#REF!</v>
      </c>
      <c r="C103" s="70" t="s">
        <v>242</v>
      </c>
      <c r="D103" s="58"/>
      <c r="E103" s="59"/>
      <c r="F103" s="59"/>
      <c r="G103" s="59"/>
      <c r="H103" s="60"/>
      <c r="I103" s="32"/>
      <c r="J103" s="60"/>
      <c r="K103" s="61"/>
      <c r="L103" s="32"/>
      <c r="M103" s="65"/>
      <c r="N103" s="63"/>
      <c r="O103" s="64"/>
      <c r="P103" s="71"/>
      <c r="Q103" s="72"/>
      <c r="S103" s="1" t="str">
        <f t="shared" si="1"/>
        <v>B</v>
      </c>
    </row>
    <row r="104" spans="1:19" x14ac:dyDescent="0.55000000000000004">
      <c r="A104" s="1" t="e">
        <f>IF(#REF!="","",#REF!)</f>
        <v>#REF!</v>
      </c>
      <c r="C104" s="70" t="s">
        <v>243</v>
      </c>
      <c r="D104" s="58"/>
      <c r="E104" s="59"/>
      <c r="F104" s="59"/>
      <c r="G104" s="59"/>
      <c r="H104" s="60"/>
      <c r="I104" s="32"/>
      <c r="J104" s="60"/>
      <c r="K104" s="61"/>
      <c r="L104" s="32"/>
      <c r="M104" s="65"/>
      <c r="N104" s="63"/>
      <c r="O104" s="64"/>
      <c r="P104" s="71"/>
      <c r="Q104" s="72"/>
      <c r="S104" s="1" t="str">
        <f t="shared" si="1"/>
        <v>B</v>
      </c>
    </row>
    <row r="105" spans="1:19" x14ac:dyDescent="0.55000000000000004">
      <c r="A105" s="1" t="e">
        <f>IF(#REF!="","",#REF!)</f>
        <v>#REF!</v>
      </c>
      <c r="C105" s="70" t="s">
        <v>244</v>
      </c>
      <c r="D105" s="58"/>
      <c r="E105" s="59"/>
      <c r="F105" s="59"/>
      <c r="G105" s="59"/>
      <c r="H105" s="60"/>
      <c r="I105" s="32"/>
      <c r="J105" s="60"/>
      <c r="K105" s="61"/>
      <c r="L105" s="32"/>
      <c r="M105" s="65"/>
      <c r="N105" s="63"/>
      <c r="O105" s="64"/>
      <c r="P105" s="71"/>
      <c r="Q105" s="72"/>
      <c r="S105" s="1" t="str">
        <f t="shared" si="1"/>
        <v>B</v>
      </c>
    </row>
    <row r="106" spans="1:19" x14ac:dyDescent="0.55000000000000004">
      <c r="A106" s="1" t="e">
        <f>IF(#REF!="","",#REF!)</f>
        <v>#REF!</v>
      </c>
      <c r="C106" s="70" t="s">
        <v>245</v>
      </c>
      <c r="D106" s="58"/>
      <c r="E106" s="59"/>
      <c r="F106" s="59"/>
      <c r="G106" s="59"/>
      <c r="H106" s="60"/>
      <c r="I106" s="32"/>
      <c r="J106" s="60"/>
      <c r="K106" s="61"/>
      <c r="L106" s="32"/>
      <c r="M106" s="65"/>
      <c r="N106" s="63"/>
      <c r="O106" s="64"/>
      <c r="P106" s="71"/>
      <c r="Q106" s="72"/>
      <c r="S106" s="1" t="str">
        <f t="shared" ref="S106:S169" si="2">IF(E106="キャンセル","",IF(G106="故障","A",IF(G106="紛失・盗難","A",IF(G106="キッティング","A","B"))))</f>
        <v>B</v>
      </c>
    </row>
    <row r="107" spans="1:19" x14ac:dyDescent="0.55000000000000004">
      <c r="A107" s="1" t="e">
        <f>IF(#REF!="","",#REF!)</f>
        <v>#REF!</v>
      </c>
      <c r="C107" s="70" t="s">
        <v>246</v>
      </c>
      <c r="D107" s="58"/>
      <c r="E107" s="59"/>
      <c r="F107" s="59"/>
      <c r="G107" s="59"/>
      <c r="H107" s="60"/>
      <c r="I107" s="32"/>
      <c r="J107" s="60"/>
      <c r="K107" s="61"/>
      <c r="L107" s="32"/>
      <c r="M107" s="65"/>
      <c r="N107" s="63"/>
      <c r="O107" s="64"/>
      <c r="P107" s="71"/>
      <c r="Q107" s="72"/>
      <c r="S107" s="1" t="str">
        <f t="shared" si="2"/>
        <v>B</v>
      </c>
    </row>
    <row r="108" spans="1:19" x14ac:dyDescent="0.55000000000000004">
      <c r="A108" s="1" t="e">
        <f>IF(#REF!="","",#REF!)</f>
        <v>#REF!</v>
      </c>
      <c r="C108" s="70" t="s">
        <v>247</v>
      </c>
      <c r="D108" s="58"/>
      <c r="E108" s="59"/>
      <c r="F108" s="59"/>
      <c r="G108" s="59"/>
      <c r="H108" s="60"/>
      <c r="I108" s="32"/>
      <c r="J108" s="60"/>
      <c r="K108" s="61"/>
      <c r="L108" s="32"/>
      <c r="M108" s="65"/>
      <c r="N108" s="63"/>
      <c r="O108" s="64"/>
      <c r="P108" s="71"/>
      <c r="Q108" s="72"/>
      <c r="S108" s="1" t="str">
        <f t="shared" si="2"/>
        <v>B</v>
      </c>
    </row>
    <row r="109" spans="1:19" x14ac:dyDescent="0.55000000000000004">
      <c r="A109" s="1" t="e">
        <f>IF(#REF!="","",#REF!)</f>
        <v>#REF!</v>
      </c>
      <c r="C109" s="70" t="s">
        <v>248</v>
      </c>
      <c r="D109" s="58"/>
      <c r="E109" s="59"/>
      <c r="F109" s="59"/>
      <c r="G109" s="59"/>
      <c r="H109" s="60"/>
      <c r="I109" s="32"/>
      <c r="J109" s="60"/>
      <c r="K109" s="61"/>
      <c r="L109" s="32"/>
      <c r="M109" s="65"/>
      <c r="N109" s="63"/>
      <c r="O109" s="64"/>
      <c r="P109" s="71"/>
      <c r="Q109" s="72"/>
      <c r="S109" s="1" t="str">
        <f t="shared" si="2"/>
        <v>B</v>
      </c>
    </row>
    <row r="110" spans="1:19" x14ac:dyDescent="0.55000000000000004">
      <c r="A110" s="1" t="e">
        <f>IF(#REF!="","",#REF!)</f>
        <v>#REF!</v>
      </c>
      <c r="C110" s="70" t="s">
        <v>249</v>
      </c>
      <c r="D110" s="58"/>
      <c r="E110" s="59"/>
      <c r="F110" s="59"/>
      <c r="G110" s="59"/>
      <c r="H110" s="60"/>
      <c r="I110" s="32"/>
      <c r="J110" s="60"/>
      <c r="K110" s="61"/>
      <c r="L110" s="32"/>
      <c r="M110" s="65"/>
      <c r="N110" s="63"/>
      <c r="O110" s="64"/>
      <c r="P110" s="71"/>
      <c r="Q110" s="72"/>
      <c r="S110" s="1" t="str">
        <f t="shared" si="2"/>
        <v>B</v>
      </c>
    </row>
    <row r="111" spans="1:19" x14ac:dyDescent="0.55000000000000004">
      <c r="A111" s="1" t="e">
        <f>IF(#REF!="","",#REF!)</f>
        <v>#REF!</v>
      </c>
      <c r="C111" s="70" t="s">
        <v>250</v>
      </c>
      <c r="D111" s="58"/>
      <c r="E111" s="59"/>
      <c r="F111" s="59"/>
      <c r="G111" s="59"/>
      <c r="H111" s="60"/>
      <c r="I111" s="32"/>
      <c r="J111" s="60"/>
      <c r="K111" s="61"/>
      <c r="L111" s="32"/>
      <c r="M111" s="65"/>
      <c r="N111" s="63"/>
      <c r="O111" s="64"/>
      <c r="P111" s="71"/>
      <c r="Q111" s="72"/>
      <c r="S111" s="1" t="str">
        <f t="shared" si="2"/>
        <v>B</v>
      </c>
    </row>
    <row r="112" spans="1:19" x14ac:dyDescent="0.55000000000000004">
      <c r="A112" s="1" t="e">
        <f>IF(#REF!="","",#REF!)</f>
        <v>#REF!</v>
      </c>
      <c r="C112" s="70" t="s">
        <v>251</v>
      </c>
      <c r="D112" s="58"/>
      <c r="E112" s="59"/>
      <c r="F112" s="59"/>
      <c r="G112" s="59"/>
      <c r="H112" s="60"/>
      <c r="I112" s="32"/>
      <c r="J112" s="60"/>
      <c r="K112" s="61"/>
      <c r="L112" s="32"/>
      <c r="M112" s="65"/>
      <c r="N112" s="63"/>
      <c r="O112" s="64"/>
      <c r="P112" s="71"/>
      <c r="Q112" s="72"/>
      <c r="S112" s="1" t="str">
        <f t="shared" si="2"/>
        <v>B</v>
      </c>
    </row>
    <row r="113" spans="1:19" x14ac:dyDescent="0.55000000000000004">
      <c r="A113" s="1" t="e">
        <f>IF(#REF!="","",#REF!)</f>
        <v>#REF!</v>
      </c>
      <c r="C113" s="70" t="s">
        <v>252</v>
      </c>
      <c r="D113" s="58"/>
      <c r="E113" s="59"/>
      <c r="F113" s="59"/>
      <c r="G113" s="59"/>
      <c r="H113" s="60"/>
      <c r="I113" s="32"/>
      <c r="J113" s="60"/>
      <c r="K113" s="61"/>
      <c r="L113" s="32"/>
      <c r="M113" s="65"/>
      <c r="N113" s="63"/>
      <c r="O113" s="64"/>
      <c r="P113" s="71"/>
      <c r="Q113" s="72"/>
      <c r="S113" s="1" t="str">
        <f t="shared" si="2"/>
        <v>B</v>
      </c>
    </row>
    <row r="114" spans="1:19" x14ac:dyDescent="0.55000000000000004">
      <c r="A114" s="1" t="e">
        <f>IF(#REF!="","",#REF!)</f>
        <v>#REF!</v>
      </c>
      <c r="C114" s="70" t="s">
        <v>253</v>
      </c>
      <c r="D114" s="58"/>
      <c r="E114" s="59"/>
      <c r="F114" s="59"/>
      <c r="G114" s="59"/>
      <c r="H114" s="60"/>
      <c r="I114" s="32"/>
      <c r="J114" s="60"/>
      <c r="K114" s="61"/>
      <c r="L114" s="32"/>
      <c r="M114" s="65"/>
      <c r="N114" s="63"/>
      <c r="O114" s="64"/>
      <c r="P114" s="71"/>
      <c r="Q114" s="72"/>
      <c r="S114" s="1" t="str">
        <f t="shared" si="2"/>
        <v>B</v>
      </c>
    </row>
    <row r="115" spans="1:19" x14ac:dyDescent="0.55000000000000004">
      <c r="A115" s="1" t="e">
        <f>IF(#REF!="","",#REF!)</f>
        <v>#REF!</v>
      </c>
      <c r="C115" s="70" t="s">
        <v>254</v>
      </c>
      <c r="D115" s="58"/>
      <c r="E115" s="59"/>
      <c r="F115" s="59"/>
      <c r="G115" s="59"/>
      <c r="H115" s="60"/>
      <c r="I115" s="32"/>
      <c r="J115" s="60"/>
      <c r="K115" s="61"/>
      <c r="L115" s="32"/>
      <c r="M115" s="65"/>
      <c r="N115" s="63"/>
      <c r="O115" s="64"/>
      <c r="P115" s="71"/>
      <c r="Q115" s="72"/>
      <c r="S115" s="1" t="str">
        <f t="shared" si="2"/>
        <v>B</v>
      </c>
    </row>
    <row r="116" spans="1:19" x14ac:dyDescent="0.55000000000000004">
      <c r="A116" s="1" t="e">
        <f>IF(#REF!="","",#REF!)</f>
        <v>#REF!</v>
      </c>
      <c r="C116" s="70" t="s">
        <v>255</v>
      </c>
      <c r="D116" s="58"/>
      <c r="E116" s="59"/>
      <c r="F116" s="59"/>
      <c r="G116" s="59"/>
      <c r="H116" s="60"/>
      <c r="I116" s="32"/>
      <c r="J116" s="60"/>
      <c r="K116" s="61"/>
      <c r="L116" s="32"/>
      <c r="M116" s="65"/>
      <c r="N116" s="63"/>
      <c r="O116" s="64"/>
      <c r="P116" s="71"/>
      <c r="Q116" s="72"/>
      <c r="S116" s="1" t="str">
        <f t="shared" si="2"/>
        <v>B</v>
      </c>
    </row>
    <row r="117" spans="1:19" x14ac:dyDescent="0.55000000000000004">
      <c r="A117" s="1" t="e">
        <f>IF(#REF!="","",#REF!)</f>
        <v>#REF!</v>
      </c>
      <c r="C117" s="70" t="s">
        <v>256</v>
      </c>
      <c r="D117" s="58"/>
      <c r="E117" s="59"/>
      <c r="F117" s="59"/>
      <c r="G117" s="59"/>
      <c r="H117" s="60"/>
      <c r="I117" s="32"/>
      <c r="J117" s="60"/>
      <c r="K117" s="61"/>
      <c r="L117" s="32"/>
      <c r="M117" s="65"/>
      <c r="N117" s="63"/>
      <c r="O117" s="64"/>
      <c r="P117" s="71"/>
      <c r="Q117" s="72"/>
      <c r="S117" s="1" t="str">
        <f t="shared" si="2"/>
        <v>B</v>
      </c>
    </row>
    <row r="118" spans="1:19" x14ac:dyDescent="0.55000000000000004">
      <c r="A118" s="1" t="e">
        <f>IF(#REF!="","",#REF!)</f>
        <v>#REF!</v>
      </c>
      <c r="C118" s="70" t="s">
        <v>257</v>
      </c>
      <c r="D118" s="58"/>
      <c r="E118" s="59"/>
      <c r="F118" s="59"/>
      <c r="G118" s="59"/>
      <c r="H118" s="60"/>
      <c r="I118" s="32"/>
      <c r="J118" s="60"/>
      <c r="K118" s="61"/>
      <c r="L118" s="32"/>
      <c r="M118" s="65"/>
      <c r="N118" s="63"/>
      <c r="O118" s="64"/>
      <c r="P118" s="71"/>
      <c r="Q118" s="72"/>
      <c r="S118" s="1" t="str">
        <f t="shared" si="2"/>
        <v>B</v>
      </c>
    </row>
    <row r="119" spans="1:19" x14ac:dyDescent="0.55000000000000004">
      <c r="A119" s="1" t="e">
        <f>IF(#REF!="","",#REF!)</f>
        <v>#REF!</v>
      </c>
      <c r="C119" s="70" t="s">
        <v>258</v>
      </c>
      <c r="D119" s="58"/>
      <c r="E119" s="59"/>
      <c r="F119" s="59"/>
      <c r="G119" s="59"/>
      <c r="H119" s="60"/>
      <c r="I119" s="32"/>
      <c r="J119" s="60"/>
      <c r="K119" s="61"/>
      <c r="L119" s="32"/>
      <c r="M119" s="65"/>
      <c r="N119" s="63"/>
      <c r="O119" s="64"/>
      <c r="P119" s="71"/>
      <c r="Q119" s="72"/>
      <c r="S119" s="1" t="str">
        <f t="shared" si="2"/>
        <v>B</v>
      </c>
    </row>
    <row r="120" spans="1:19" x14ac:dyDescent="0.55000000000000004">
      <c r="A120" s="1" t="e">
        <f>IF(#REF!="","",#REF!)</f>
        <v>#REF!</v>
      </c>
      <c r="C120" s="70" t="s">
        <v>259</v>
      </c>
      <c r="D120" s="58"/>
      <c r="E120" s="59"/>
      <c r="F120" s="59"/>
      <c r="G120" s="59"/>
      <c r="H120" s="60"/>
      <c r="I120" s="32"/>
      <c r="J120" s="60"/>
      <c r="K120" s="61"/>
      <c r="L120" s="32"/>
      <c r="M120" s="65"/>
      <c r="N120" s="63"/>
      <c r="O120" s="64"/>
      <c r="P120" s="71"/>
      <c r="Q120" s="72"/>
      <c r="S120" s="1" t="str">
        <f t="shared" si="2"/>
        <v>B</v>
      </c>
    </row>
    <row r="121" spans="1:19" x14ac:dyDescent="0.55000000000000004">
      <c r="A121" s="1" t="e">
        <f>IF(#REF!="","",#REF!)</f>
        <v>#REF!</v>
      </c>
      <c r="C121" s="70" t="s">
        <v>260</v>
      </c>
      <c r="D121" s="58"/>
      <c r="E121" s="59"/>
      <c r="F121" s="59"/>
      <c r="G121" s="59"/>
      <c r="H121" s="60"/>
      <c r="I121" s="32"/>
      <c r="J121" s="60"/>
      <c r="K121" s="61"/>
      <c r="L121" s="32"/>
      <c r="M121" s="65"/>
      <c r="N121" s="63"/>
      <c r="O121" s="64"/>
      <c r="P121" s="71"/>
      <c r="Q121" s="72"/>
      <c r="S121" s="1" t="str">
        <f t="shared" si="2"/>
        <v>B</v>
      </c>
    </row>
    <row r="122" spans="1:19" x14ac:dyDescent="0.55000000000000004">
      <c r="A122" s="1" t="e">
        <f>IF(#REF!="","",#REF!)</f>
        <v>#REF!</v>
      </c>
      <c r="C122" s="70" t="s">
        <v>261</v>
      </c>
      <c r="D122" s="58"/>
      <c r="E122" s="59"/>
      <c r="F122" s="59"/>
      <c r="G122" s="59"/>
      <c r="H122" s="60"/>
      <c r="I122" s="32"/>
      <c r="J122" s="60"/>
      <c r="K122" s="61"/>
      <c r="L122" s="32"/>
      <c r="M122" s="65"/>
      <c r="N122" s="63"/>
      <c r="O122" s="64"/>
      <c r="P122" s="71"/>
      <c r="Q122" s="72"/>
      <c r="S122" s="1" t="str">
        <f t="shared" si="2"/>
        <v>B</v>
      </c>
    </row>
    <row r="123" spans="1:19" x14ac:dyDescent="0.55000000000000004">
      <c r="A123" s="1" t="e">
        <f>IF(#REF!="","",#REF!)</f>
        <v>#REF!</v>
      </c>
      <c r="C123" s="70" t="s">
        <v>262</v>
      </c>
      <c r="D123" s="58"/>
      <c r="E123" s="59"/>
      <c r="F123" s="59"/>
      <c r="G123" s="59"/>
      <c r="H123" s="60"/>
      <c r="I123" s="32"/>
      <c r="J123" s="60"/>
      <c r="K123" s="61"/>
      <c r="L123" s="32"/>
      <c r="M123" s="65"/>
      <c r="N123" s="63"/>
      <c r="O123" s="64"/>
      <c r="P123" s="71"/>
      <c r="Q123" s="72"/>
      <c r="S123" s="1" t="str">
        <f t="shared" si="2"/>
        <v>B</v>
      </c>
    </row>
    <row r="124" spans="1:19" x14ac:dyDescent="0.55000000000000004">
      <c r="A124" s="1" t="e">
        <f>IF(#REF!="","",#REF!)</f>
        <v>#REF!</v>
      </c>
      <c r="C124" s="70" t="s">
        <v>263</v>
      </c>
      <c r="D124" s="58"/>
      <c r="E124" s="59"/>
      <c r="F124" s="59"/>
      <c r="G124" s="59"/>
      <c r="H124" s="60"/>
      <c r="I124" s="32"/>
      <c r="J124" s="60"/>
      <c r="K124" s="61"/>
      <c r="L124" s="32"/>
      <c r="M124" s="65"/>
      <c r="N124" s="63"/>
      <c r="O124" s="64"/>
      <c r="P124" s="71"/>
      <c r="Q124" s="72"/>
      <c r="S124" s="1" t="str">
        <f t="shared" si="2"/>
        <v>B</v>
      </c>
    </row>
    <row r="125" spans="1:19" x14ac:dyDescent="0.55000000000000004">
      <c r="A125" s="1" t="e">
        <f>IF(#REF!="","",#REF!)</f>
        <v>#REF!</v>
      </c>
      <c r="C125" s="70" t="s">
        <v>264</v>
      </c>
      <c r="D125" s="58"/>
      <c r="E125" s="59"/>
      <c r="F125" s="59"/>
      <c r="G125" s="59"/>
      <c r="H125" s="60"/>
      <c r="I125" s="32"/>
      <c r="J125" s="60"/>
      <c r="K125" s="61"/>
      <c r="L125" s="32"/>
      <c r="M125" s="65"/>
      <c r="N125" s="63"/>
      <c r="O125" s="64"/>
      <c r="P125" s="71"/>
      <c r="Q125" s="72"/>
      <c r="S125" s="1" t="str">
        <f t="shared" si="2"/>
        <v>B</v>
      </c>
    </row>
    <row r="126" spans="1:19" x14ac:dyDescent="0.55000000000000004">
      <c r="A126" s="1" t="e">
        <f>IF(#REF!="","",#REF!)</f>
        <v>#REF!</v>
      </c>
      <c r="C126" s="70" t="s">
        <v>265</v>
      </c>
      <c r="D126" s="58"/>
      <c r="E126" s="59"/>
      <c r="F126" s="59"/>
      <c r="G126" s="59"/>
      <c r="H126" s="60"/>
      <c r="I126" s="32"/>
      <c r="J126" s="60"/>
      <c r="K126" s="61"/>
      <c r="L126" s="32"/>
      <c r="M126" s="65"/>
      <c r="N126" s="63"/>
      <c r="O126" s="64"/>
      <c r="P126" s="71"/>
      <c r="Q126" s="72"/>
      <c r="S126" s="1" t="str">
        <f t="shared" si="2"/>
        <v>B</v>
      </c>
    </row>
    <row r="127" spans="1:19" x14ac:dyDescent="0.55000000000000004">
      <c r="A127" s="1" t="e">
        <f>IF(#REF!="","",#REF!)</f>
        <v>#REF!</v>
      </c>
      <c r="C127" s="70" t="s">
        <v>266</v>
      </c>
      <c r="D127" s="58"/>
      <c r="E127" s="59"/>
      <c r="F127" s="59"/>
      <c r="G127" s="59"/>
      <c r="H127" s="60"/>
      <c r="I127" s="32"/>
      <c r="J127" s="60"/>
      <c r="K127" s="61"/>
      <c r="L127" s="32"/>
      <c r="M127" s="65"/>
      <c r="N127" s="63"/>
      <c r="O127" s="64"/>
      <c r="P127" s="71"/>
      <c r="Q127" s="72"/>
      <c r="S127" s="1" t="str">
        <f t="shared" si="2"/>
        <v>B</v>
      </c>
    </row>
    <row r="128" spans="1:19" x14ac:dyDescent="0.55000000000000004">
      <c r="A128" s="1" t="e">
        <f>IF(#REF!="","",#REF!)</f>
        <v>#REF!</v>
      </c>
      <c r="C128" s="70" t="s">
        <v>267</v>
      </c>
      <c r="D128" s="58"/>
      <c r="E128" s="59"/>
      <c r="F128" s="59"/>
      <c r="G128" s="59"/>
      <c r="H128" s="60"/>
      <c r="I128" s="32"/>
      <c r="J128" s="60"/>
      <c r="K128" s="61"/>
      <c r="L128" s="32"/>
      <c r="M128" s="65"/>
      <c r="N128" s="63"/>
      <c r="O128" s="64"/>
      <c r="P128" s="71"/>
      <c r="Q128" s="72"/>
      <c r="S128" s="1" t="str">
        <f t="shared" si="2"/>
        <v>B</v>
      </c>
    </row>
    <row r="129" spans="1:19" x14ac:dyDescent="0.55000000000000004">
      <c r="A129" s="1" t="e">
        <f>IF(#REF!="","",#REF!)</f>
        <v>#REF!</v>
      </c>
      <c r="C129" s="70" t="s">
        <v>268</v>
      </c>
      <c r="D129" s="58"/>
      <c r="E129" s="59"/>
      <c r="F129" s="59"/>
      <c r="G129" s="59"/>
      <c r="H129" s="60"/>
      <c r="I129" s="32"/>
      <c r="J129" s="60"/>
      <c r="K129" s="61"/>
      <c r="L129" s="32"/>
      <c r="M129" s="65"/>
      <c r="N129" s="63"/>
      <c r="O129" s="64"/>
      <c r="P129" s="71"/>
      <c r="Q129" s="72"/>
      <c r="S129" s="1" t="str">
        <f t="shared" si="2"/>
        <v>B</v>
      </c>
    </row>
    <row r="130" spans="1:19" x14ac:dyDescent="0.55000000000000004">
      <c r="A130" s="1" t="e">
        <f>IF(#REF!="","",#REF!)</f>
        <v>#REF!</v>
      </c>
      <c r="C130" s="70" t="s">
        <v>269</v>
      </c>
      <c r="D130" s="58"/>
      <c r="E130" s="59"/>
      <c r="F130" s="59"/>
      <c r="G130" s="59"/>
      <c r="H130" s="60"/>
      <c r="I130" s="32"/>
      <c r="J130" s="60"/>
      <c r="K130" s="61"/>
      <c r="L130" s="32"/>
      <c r="M130" s="65"/>
      <c r="N130" s="63"/>
      <c r="O130" s="64"/>
      <c r="P130" s="71"/>
      <c r="Q130" s="72"/>
      <c r="S130" s="1" t="str">
        <f t="shared" si="2"/>
        <v>B</v>
      </c>
    </row>
    <row r="131" spans="1:19" x14ac:dyDescent="0.55000000000000004">
      <c r="A131" s="1" t="e">
        <f>IF(#REF!="","",#REF!)</f>
        <v>#REF!</v>
      </c>
      <c r="C131" s="70" t="s">
        <v>270</v>
      </c>
      <c r="D131" s="58"/>
      <c r="E131" s="59"/>
      <c r="F131" s="59"/>
      <c r="G131" s="59"/>
      <c r="H131" s="60"/>
      <c r="I131" s="32"/>
      <c r="J131" s="60"/>
      <c r="K131" s="61"/>
      <c r="L131" s="32"/>
      <c r="M131" s="65"/>
      <c r="N131" s="63"/>
      <c r="O131" s="64"/>
      <c r="P131" s="71"/>
      <c r="Q131" s="72"/>
      <c r="S131" s="1" t="str">
        <f t="shared" si="2"/>
        <v>B</v>
      </c>
    </row>
    <row r="132" spans="1:19" x14ac:dyDescent="0.55000000000000004">
      <c r="A132" s="1" t="e">
        <f>IF(#REF!="","",#REF!)</f>
        <v>#REF!</v>
      </c>
      <c r="C132" s="70" t="s">
        <v>271</v>
      </c>
      <c r="D132" s="58"/>
      <c r="E132" s="59"/>
      <c r="F132" s="59"/>
      <c r="G132" s="59"/>
      <c r="H132" s="60"/>
      <c r="I132" s="32"/>
      <c r="J132" s="60"/>
      <c r="K132" s="61"/>
      <c r="L132" s="32"/>
      <c r="M132" s="65"/>
      <c r="N132" s="63"/>
      <c r="O132" s="64"/>
      <c r="P132" s="71"/>
      <c r="Q132" s="72"/>
      <c r="S132" s="1" t="str">
        <f t="shared" si="2"/>
        <v>B</v>
      </c>
    </row>
    <row r="133" spans="1:19" x14ac:dyDescent="0.55000000000000004">
      <c r="A133" s="1" t="e">
        <f>IF(#REF!="","",#REF!)</f>
        <v>#REF!</v>
      </c>
      <c r="C133" s="70" t="s">
        <v>272</v>
      </c>
      <c r="D133" s="58"/>
      <c r="E133" s="59"/>
      <c r="F133" s="59"/>
      <c r="G133" s="59"/>
      <c r="H133" s="60"/>
      <c r="I133" s="32"/>
      <c r="J133" s="60"/>
      <c r="K133" s="61"/>
      <c r="L133" s="32"/>
      <c r="M133" s="65"/>
      <c r="N133" s="63"/>
      <c r="O133" s="64"/>
      <c r="P133" s="71"/>
      <c r="Q133" s="72"/>
      <c r="S133" s="1" t="str">
        <f t="shared" si="2"/>
        <v>B</v>
      </c>
    </row>
    <row r="134" spans="1:19" x14ac:dyDescent="0.55000000000000004">
      <c r="A134" s="1" t="e">
        <f>IF(#REF!="","",#REF!)</f>
        <v>#REF!</v>
      </c>
      <c r="C134" s="70" t="s">
        <v>273</v>
      </c>
      <c r="D134" s="58"/>
      <c r="E134" s="59"/>
      <c r="F134" s="59"/>
      <c r="G134" s="59"/>
      <c r="H134" s="60"/>
      <c r="I134" s="32"/>
      <c r="J134" s="60"/>
      <c r="K134" s="61"/>
      <c r="L134" s="32"/>
      <c r="M134" s="65"/>
      <c r="N134" s="63"/>
      <c r="O134" s="64"/>
      <c r="P134" s="71"/>
      <c r="Q134" s="72"/>
      <c r="S134" s="1" t="str">
        <f t="shared" si="2"/>
        <v>B</v>
      </c>
    </row>
    <row r="135" spans="1:19" x14ac:dyDescent="0.55000000000000004">
      <c r="A135" s="1" t="e">
        <f>IF(#REF!="","",#REF!)</f>
        <v>#REF!</v>
      </c>
      <c r="C135" s="70" t="s">
        <v>274</v>
      </c>
      <c r="D135" s="58"/>
      <c r="E135" s="59"/>
      <c r="F135" s="59"/>
      <c r="G135" s="59"/>
      <c r="H135" s="60"/>
      <c r="I135" s="32"/>
      <c r="J135" s="60"/>
      <c r="K135" s="61"/>
      <c r="L135" s="32"/>
      <c r="M135" s="65"/>
      <c r="N135" s="63"/>
      <c r="O135" s="64"/>
      <c r="P135" s="71"/>
      <c r="Q135" s="72"/>
      <c r="S135" s="1" t="str">
        <f t="shared" si="2"/>
        <v>B</v>
      </c>
    </row>
    <row r="136" spans="1:19" x14ac:dyDescent="0.55000000000000004">
      <c r="A136" s="1" t="e">
        <f>IF(#REF!="","",#REF!)</f>
        <v>#REF!</v>
      </c>
      <c r="C136" s="70" t="s">
        <v>275</v>
      </c>
      <c r="D136" s="58"/>
      <c r="E136" s="59"/>
      <c r="F136" s="59"/>
      <c r="G136" s="59"/>
      <c r="H136" s="60"/>
      <c r="I136" s="32"/>
      <c r="J136" s="60"/>
      <c r="K136" s="61"/>
      <c r="L136" s="32"/>
      <c r="M136" s="65"/>
      <c r="N136" s="63"/>
      <c r="O136" s="64"/>
      <c r="P136" s="71"/>
      <c r="Q136" s="72"/>
      <c r="S136" s="1" t="str">
        <f t="shared" si="2"/>
        <v>B</v>
      </c>
    </row>
    <row r="137" spans="1:19" x14ac:dyDescent="0.55000000000000004">
      <c r="A137" s="1" t="e">
        <f>IF(#REF!="","",#REF!)</f>
        <v>#REF!</v>
      </c>
      <c r="C137" s="70" t="s">
        <v>276</v>
      </c>
      <c r="D137" s="58"/>
      <c r="E137" s="59"/>
      <c r="F137" s="59"/>
      <c r="G137" s="59"/>
      <c r="H137" s="60"/>
      <c r="I137" s="32"/>
      <c r="J137" s="60"/>
      <c r="K137" s="61"/>
      <c r="L137" s="32"/>
      <c r="M137" s="65"/>
      <c r="N137" s="63"/>
      <c r="O137" s="64"/>
      <c r="P137" s="71"/>
      <c r="Q137" s="72"/>
      <c r="S137" s="1" t="str">
        <f t="shared" si="2"/>
        <v>B</v>
      </c>
    </row>
    <row r="138" spans="1:19" x14ac:dyDescent="0.55000000000000004">
      <c r="A138" s="1" t="e">
        <f>IF(#REF!="","",#REF!)</f>
        <v>#REF!</v>
      </c>
      <c r="C138" s="70" t="s">
        <v>277</v>
      </c>
      <c r="D138" s="58"/>
      <c r="E138" s="59"/>
      <c r="F138" s="59"/>
      <c r="G138" s="59"/>
      <c r="H138" s="60"/>
      <c r="I138" s="32"/>
      <c r="J138" s="60"/>
      <c r="K138" s="61"/>
      <c r="L138" s="32"/>
      <c r="M138" s="65"/>
      <c r="N138" s="63"/>
      <c r="O138" s="64"/>
      <c r="P138" s="71"/>
      <c r="Q138" s="72"/>
      <c r="S138" s="1" t="str">
        <f t="shared" si="2"/>
        <v>B</v>
      </c>
    </row>
    <row r="139" spans="1:19" x14ac:dyDescent="0.55000000000000004">
      <c r="A139" s="1" t="e">
        <f>IF(#REF!="","",#REF!)</f>
        <v>#REF!</v>
      </c>
      <c r="C139" s="70" t="s">
        <v>278</v>
      </c>
      <c r="D139" s="58"/>
      <c r="E139" s="59"/>
      <c r="F139" s="59"/>
      <c r="G139" s="59"/>
      <c r="H139" s="60"/>
      <c r="I139" s="32"/>
      <c r="J139" s="60"/>
      <c r="K139" s="61"/>
      <c r="L139" s="32"/>
      <c r="M139" s="65"/>
      <c r="N139" s="63"/>
      <c r="O139" s="64"/>
      <c r="P139" s="71"/>
      <c r="Q139" s="72"/>
      <c r="S139" s="1" t="str">
        <f t="shared" si="2"/>
        <v>B</v>
      </c>
    </row>
    <row r="140" spans="1:19" x14ac:dyDescent="0.55000000000000004">
      <c r="A140" s="1" t="e">
        <f>IF(#REF!="","",#REF!)</f>
        <v>#REF!</v>
      </c>
      <c r="C140" s="70" t="s">
        <v>279</v>
      </c>
      <c r="D140" s="58"/>
      <c r="E140" s="59"/>
      <c r="F140" s="59"/>
      <c r="G140" s="59"/>
      <c r="H140" s="60"/>
      <c r="I140" s="32"/>
      <c r="J140" s="60"/>
      <c r="K140" s="61"/>
      <c r="L140" s="32"/>
      <c r="M140" s="65"/>
      <c r="N140" s="63"/>
      <c r="O140" s="64"/>
      <c r="P140" s="71"/>
      <c r="Q140" s="72"/>
      <c r="S140" s="1" t="str">
        <f t="shared" si="2"/>
        <v>B</v>
      </c>
    </row>
    <row r="141" spans="1:19" x14ac:dyDescent="0.55000000000000004">
      <c r="A141" s="1" t="e">
        <f>IF(#REF!="","",#REF!)</f>
        <v>#REF!</v>
      </c>
      <c r="C141" s="70" t="s">
        <v>280</v>
      </c>
      <c r="D141" s="58"/>
      <c r="E141" s="59"/>
      <c r="F141" s="59"/>
      <c r="G141" s="59"/>
      <c r="H141" s="60"/>
      <c r="I141" s="32"/>
      <c r="J141" s="60"/>
      <c r="K141" s="61"/>
      <c r="L141" s="32"/>
      <c r="M141" s="65"/>
      <c r="N141" s="63"/>
      <c r="O141" s="64"/>
      <c r="P141" s="71"/>
      <c r="Q141" s="72"/>
      <c r="S141" s="1" t="str">
        <f t="shared" si="2"/>
        <v>B</v>
      </c>
    </row>
    <row r="142" spans="1:19" x14ac:dyDescent="0.55000000000000004">
      <c r="A142" s="1" t="e">
        <f>IF(#REF!="","",#REF!)</f>
        <v>#REF!</v>
      </c>
      <c r="C142" s="70" t="s">
        <v>281</v>
      </c>
      <c r="D142" s="58"/>
      <c r="E142" s="59"/>
      <c r="F142" s="59"/>
      <c r="G142" s="59"/>
      <c r="H142" s="60"/>
      <c r="I142" s="32"/>
      <c r="J142" s="60"/>
      <c r="K142" s="61"/>
      <c r="L142" s="32"/>
      <c r="M142" s="65"/>
      <c r="N142" s="63"/>
      <c r="O142" s="64"/>
      <c r="P142" s="71"/>
      <c r="Q142" s="72"/>
      <c r="S142" s="1" t="str">
        <f t="shared" si="2"/>
        <v>B</v>
      </c>
    </row>
    <row r="143" spans="1:19" x14ac:dyDescent="0.55000000000000004">
      <c r="A143" s="1" t="e">
        <f>IF(#REF!="","",#REF!)</f>
        <v>#REF!</v>
      </c>
      <c r="C143" s="70" t="s">
        <v>282</v>
      </c>
      <c r="D143" s="58"/>
      <c r="E143" s="59"/>
      <c r="F143" s="59"/>
      <c r="G143" s="59"/>
      <c r="H143" s="60"/>
      <c r="I143" s="32"/>
      <c r="J143" s="60"/>
      <c r="K143" s="61"/>
      <c r="L143" s="32"/>
      <c r="M143" s="65"/>
      <c r="N143" s="63"/>
      <c r="O143" s="64"/>
      <c r="P143" s="71"/>
      <c r="Q143" s="72"/>
      <c r="S143" s="1" t="str">
        <f t="shared" si="2"/>
        <v>B</v>
      </c>
    </row>
    <row r="144" spans="1:19" x14ac:dyDescent="0.55000000000000004">
      <c r="A144" s="1" t="e">
        <f>IF(#REF!="","",#REF!)</f>
        <v>#REF!</v>
      </c>
      <c r="C144" s="70" t="s">
        <v>283</v>
      </c>
      <c r="D144" s="58"/>
      <c r="E144" s="59"/>
      <c r="F144" s="59"/>
      <c r="G144" s="59"/>
      <c r="H144" s="60"/>
      <c r="I144" s="32"/>
      <c r="J144" s="60"/>
      <c r="K144" s="61"/>
      <c r="L144" s="32"/>
      <c r="M144" s="65"/>
      <c r="N144" s="63"/>
      <c r="O144" s="64"/>
      <c r="P144" s="71"/>
      <c r="Q144" s="72"/>
      <c r="S144" s="1" t="str">
        <f t="shared" si="2"/>
        <v>B</v>
      </c>
    </row>
    <row r="145" spans="1:19" x14ac:dyDescent="0.55000000000000004">
      <c r="A145" s="1" t="e">
        <f>IF(#REF!="","",#REF!)</f>
        <v>#REF!</v>
      </c>
      <c r="C145" s="70" t="s">
        <v>284</v>
      </c>
      <c r="D145" s="58"/>
      <c r="E145" s="59"/>
      <c r="F145" s="59"/>
      <c r="G145" s="59"/>
      <c r="H145" s="60"/>
      <c r="I145" s="32"/>
      <c r="J145" s="60"/>
      <c r="K145" s="61"/>
      <c r="L145" s="32"/>
      <c r="M145" s="65"/>
      <c r="N145" s="63"/>
      <c r="O145" s="64"/>
      <c r="P145" s="71"/>
      <c r="Q145" s="72"/>
      <c r="S145" s="1" t="str">
        <f t="shared" si="2"/>
        <v>B</v>
      </c>
    </row>
    <row r="146" spans="1:19" x14ac:dyDescent="0.55000000000000004">
      <c r="A146" s="1" t="e">
        <f>IF(#REF!="","",#REF!)</f>
        <v>#REF!</v>
      </c>
      <c r="C146" s="70" t="s">
        <v>285</v>
      </c>
      <c r="D146" s="58"/>
      <c r="E146" s="59"/>
      <c r="F146" s="59"/>
      <c r="G146" s="59"/>
      <c r="H146" s="60"/>
      <c r="I146" s="32"/>
      <c r="J146" s="60"/>
      <c r="K146" s="61"/>
      <c r="L146" s="32"/>
      <c r="M146" s="65"/>
      <c r="N146" s="63"/>
      <c r="O146" s="64"/>
      <c r="P146" s="71"/>
      <c r="Q146" s="72"/>
      <c r="S146" s="1" t="str">
        <f t="shared" si="2"/>
        <v>B</v>
      </c>
    </row>
    <row r="147" spans="1:19" x14ac:dyDescent="0.55000000000000004">
      <c r="A147" s="1" t="e">
        <f>IF(#REF!="","",#REF!)</f>
        <v>#REF!</v>
      </c>
      <c r="C147" s="70" t="s">
        <v>286</v>
      </c>
      <c r="D147" s="58"/>
      <c r="E147" s="59"/>
      <c r="F147" s="59"/>
      <c r="G147" s="59"/>
      <c r="H147" s="60"/>
      <c r="I147" s="32"/>
      <c r="J147" s="60"/>
      <c r="K147" s="61"/>
      <c r="L147" s="32"/>
      <c r="M147" s="65"/>
      <c r="N147" s="63"/>
      <c r="O147" s="64"/>
      <c r="P147" s="71"/>
      <c r="Q147" s="72"/>
      <c r="S147" s="1" t="str">
        <f t="shared" si="2"/>
        <v>B</v>
      </c>
    </row>
    <row r="148" spans="1:19" x14ac:dyDescent="0.55000000000000004">
      <c r="A148" s="1" t="e">
        <f>IF(#REF!="","",#REF!)</f>
        <v>#REF!</v>
      </c>
      <c r="C148" s="70" t="s">
        <v>287</v>
      </c>
      <c r="D148" s="58"/>
      <c r="E148" s="59"/>
      <c r="F148" s="59"/>
      <c r="G148" s="59"/>
      <c r="H148" s="60"/>
      <c r="I148" s="32"/>
      <c r="J148" s="60"/>
      <c r="K148" s="61"/>
      <c r="L148" s="32"/>
      <c r="M148" s="65"/>
      <c r="N148" s="63"/>
      <c r="O148" s="64"/>
      <c r="P148" s="71"/>
      <c r="Q148" s="72"/>
      <c r="S148" s="1" t="str">
        <f t="shared" si="2"/>
        <v>B</v>
      </c>
    </row>
    <row r="149" spans="1:19" x14ac:dyDescent="0.55000000000000004">
      <c r="A149" s="1" t="e">
        <f>IF(#REF!="","",#REF!)</f>
        <v>#REF!</v>
      </c>
      <c r="C149" s="70" t="s">
        <v>288</v>
      </c>
      <c r="D149" s="58"/>
      <c r="E149" s="59"/>
      <c r="F149" s="59"/>
      <c r="G149" s="59"/>
      <c r="H149" s="60"/>
      <c r="I149" s="32"/>
      <c r="J149" s="60"/>
      <c r="K149" s="61"/>
      <c r="L149" s="32"/>
      <c r="M149" s="65"/>
      <c r="N149" s="63"/>
      <c r="O149" s="64"/>
      <c r="P149" s="71"/>
      <c r="Q149" s="72"/>
      <c r="S149" s="1" t="str">
        <f t="shared" si="2"/>
        <v>B</v>
      </c>
    </row>
    <row r="150" spans="1:19" x14ac:dyDescent="0.55000000000000004">
      <c r="A150" s="1" t="e">
        <f>IF(#REF!="","",#REF!)</f>
        <v>#REF!</v>
      </c>
      <c r="C150" s="70" t="s">
        <v>289</v>
      </c>
      <c r="D150" s="58"/>
      <c r="E150" s="59"/>
      <c r="F150" s="59"/>
      <c r="G150" s="59"/>
      <c r="H150" s="60"/>
      <c r="I150" s="32"/>
      <c r="J150" s="60"/>
      <c r="K150" s="61"/>
      <c r="L150" s="32"/>
      <c r="M150" s="65"/>
      <c r="N150" s="63"/>
      <c r="O150" s="64"/>
      <c r="P150" s="71"/>
      <c r="Q150" s="72"/>
      <c r="S150" s="1" t="str">
        <f t="shared" si="2"/>
        <v>B</v>
      </c>
    </row>
    <row r="151" spans="1:19" x14ac:dyDescent="0.55000000000000004">
      <c r="A151" s="1" t="e">
        <f>IF(#REF!="","",#REF!)</f>
        <v>#REF!</v>
      </c>
      <c r="C151" s="70" t="s">
        <v>290</v>
      </c>
      <c r="D151" s="58"/>
      <c r="E151" s="59"/>
      <c r="F151" s="59"/>
      <c r="G151" s="59"/>
      <c r="H151" s="60"/>
      <c r="I151" s="32"/>
      <c r="J151" s="60"/>
      <c r="K151" s="61"/>
      <c r="L151" s="32"/>
      <c r="M151" s="65"/>
      <c r="N151" s="63"/>
      <c r="O151" s="64"/>
      <c r="P151" s="71"/>
      <c r="Q151" s="72"/>
      <c r="S151" s="1" t="str">
        <f t="shared" si="2"/>
        <v>B</v>
      </c>
    </row>
    <row r="152" spans="1:19" x14ac:dyDescent="0.55000000000000004">
      <c r="A152" s="1" t="e">
        <f>IF(#REF!="","",#REF!)</f>
        <v>#REF!</v>
      </c>
      <c r="C152" s="70" t="s">
        <v>291</v>
      </c>
      <c r="D152" s="58"/>
      <c r="E152" s="59"/>
      <c r="F152" s="59"/>
      <c r="G152" s="59"/>
      <c r="H152" s="60"/>
      <c r="I152" s="32"/>
      <c r="J152" s="60"/>
      <c r="K152" s="61"/>
      <c r="L152" s="32"/>
      <c r="M152" s="65"/>
      <c r="N152" s="63"/>
      <c r="O152" s="64"/>
      <c r="P152" s="71"/>
      <c r="Q152" s="72"/>
      <c r="S152" s="1" t="str">
        <f t="shared" si="2"/>
        <v>B</v>
      </c>
    </row>
    <row r="153" spans="1:19" x14ac:dyDescent="0.55000000000000004">
      <c r="A153" s="1" t="e">
        <f>IF(#REF!="","",#REF!)</f>
        <v>#REF!</v>
      </c>
      <c r="C153" s="70" t="s">
        <v>292</v>
      </c>
      <c r="D153" s="58"/>
      <c r="E153" s="59"/>
      <c r="F153" s="59"/>
      <c r="G153" s="59"/>
      <c r="H153" s="60"/>
      <c r="I153" s="32"/>
      <c r="J153" s="60"/>
      <c r="K153" s="61"/>
      <c r="L153" s="32"/>
      <c r="M153" s="65"/>
      <c r="N153" s="63"/>
      <c r="O153" s="64"/>
      <c r="P153" s="71"/>
      <c r="Q153" s="72"/>
      <c r="S153" s="1" t="str">
        <f t="shared" si="2"/>
        <v>B</v>
      </c>
    </row>
    <row r="154" spans="1:19" x14ac:dyDescent="0.55000000000000004">
      <c r="A154" s="1" t="e">
        <f>IF(#REF!="","",#REF!)</f>
        <v>#REF!</v>
      </c>
      <c r="C154" s="70" t="s">
        <v>293</v>
      </c>
      <c r="D154" s="58"/>
      <c r="E154" s="59"/>
      <c r="F154" s="59"/>
      <c r="G154" s="59"/>
      <c r="H154" s="60"/>
      <c r="I154" s="32"/>
      <c r="J154" s="60"/>
      <c r="K154" s="61"/>
      <c r="L154" s="32"/>
      <c r="M154" s="65"/>
      <c r="N154" s="63"/>
      <c r="O154" s="64"/>
      <c r="P154" s="71"/>
      <c r="Q154" s="72"/>
      <c r="S154" s="1" t="str">
        <f t="shared" si="2"/>
        <v>B</v>
      </c>
    </row>
    <row r="155" spans="1:19" x14ac:dyDescent="0.55000000000000004">
      <c r="A155" s="1" t="e">
        <f>IF(#REF!="","",#REF!)</f>
        <v>#REF!</v>
      </c>
      <c r="C155" s="70" t="s">
        <v>294</v>
      </c>
      <c r="D155" s="58"/>
      <c r="E155" s="59"/>
      <c r="F155" s="59"/>
      <c r="G155" s="59"/>
      <c r="H155" s="60"/>
      <c r="I155" s="32"/>
      <c r="J155" s="60"/>
      <c r="K155" s="61"/>
      <c r="L155" s="32"/>
      <c r="M155" s="65"/>
      <c r="N155" s="63"/>
      <c r="O155" s="64"/>
      <c r="P155" s="71"/>
      <c r="Q155" s="72"/>
      <c r="S155" s="1" t="str">
        <f t="shared" si="2"/>
        <v>B</v>
      </c>
    </row>
    <row r="156" spans="1:19" x14ac:dyDescent="0.55000000000000004">
      <c r="A156" s="1" t="e">
        <f>IF(#REF!="","",#REF!)</f>
        <v>#REF!</v>
      </c>
      <c r="C156" s="70" t="s">
        <v>295</v>
      </c>
      <c r="D156" s="58"/>
      <c r="E156" s="59"/>
      <c r="F156" s="59"/>
      <c r="G156" s="59"/>
      <c r="H156" s="60"/>
      <c r="I156" s="32"/>
      <c r="J156" s="60"/>
      <c r="K156" s="61"/>
      <c r="L156" s="32"/>
      <c r="M156" s="65"/>
      <c r="N156" s="63"/>
      <c r="O156" s="64"/>
      <c r="P156" s="71"/>
      <c r="Q156" s="72"/>
      <c r="S156" s="1" t="str">
        <f t="shared" si="2"/>
        <v>B</v>
      </c>
    </row>
    <row r="157" spans="1:19" x14ac:dyDescent="0.55000000000000004">
      <c r="A157" s="1" t="e">
        <f>IF(#REF!="","",#REF!)</f>
        <v>#REF!</v>
      </c>
      <c r="C157" s="70" t="s">
        <v>296</v>
      </c>
      <c r="D157" s="58"/>
      <c r="E157" s="59"/>
      <c r="F157" s="59"/>
      <c r="G157" s="59"/>
      <c r="H157" s="60"/>
      <c r="I157" s="32"/>
      <c r="J157" s="60"/>
      <c r="K157" s="61"/>
      <c r="L157" s="32"/>
      <c r="M157" s="65"/>
      <c r="N157" s="63"/>
      <c r="O157" s="64"/>
      <c r="P157" s="71"/>
      <c r="Q157" s="72"/>
      <c r="S157" s="1" t="str">
        <f t="shared" si="2"/>
        <v>B</v>
      </c>
    </row>
    <row r="158" spans="1:19" x14ac:dyDescent="0.55000000000000004">
      <c r="A158" s="1" t="e">
        <f>IF(#REF!="","",#REF!)</f>
        <v>#REF!</v>
      </c>
      <c r="C158" s="70" t="s">
        <v>297</v>
      </c>
      <c r="D158" s="58"/>
      <c r="E158" s="59"/>
      <c r="F158" s="59"/>
      <c r="G158" s="59"/>
      <c r="H158" s="60"/>
      <c r="I158" s="32"/>
      <c r="J158" s="60"/>
      <c r="K158" s="61"/>
      <c r="L158" s="32"/>
      <c r="M158" s="65"/>
      <c r="N158" s="63"/>
      <c r="O158" s="64"/>
      <c r="P158" s="71"/>
      <c r="Q158" s="72"/>
      <c r="S158" s="1" t="str">
        <f t="shared" si="2"/>
        <v>B</v>
      </c>
    </row>
    <row r="159" spans="1:19" x14ac:dyDescent="0.55000000000000004">
      <c r="A159" s="1" t="e">
        <f>IF(#REF!="","",#REF!)</f>
        <v>#REF!</v>
      </c>
      <c r="C159" s="70" t="s">
        <v>298</v>
      </c>
      <c r="D159" s="58"/>
      <c r="E159" s="59"/>
      <c r="F159" s="59"/>
      <c r="G159" s="59"/>
      <c r="H159" s="60"/>
      <c r="I159" s="32"/>
      <c r="J159" s="60"/>
      <c r="K159" s="61"/>
      <c r="L159" s="32"/>
      <c r="M159" s="65"/>
      <c r="N159" s="63"/>
      <c r="O159" s="64"/>
      <c r="P159" s="71"/>
      <c r="Q159" s="72"/>
      <c r="S159" s="1" t="str">
        <f t="shared" si="2"/>
        <v>B</v>
      </c>
    </row>
    <row r="160" spans="1:19" x14ac:dyDescent="0.55000000000000004">
      <c r="A160" s="1" t="e">
        <f>IF(#REF!="","",#REF!)</f>
        <v>#REF!</v>
      </c>
      <c r="C160" s="70" t="s">
        <v>299</v>
      </c>
      <c r="D160" s="58"/>
      <c r="E160" s="59"/>
      <c r="F160" s="59"/>
      <c r="G160" s="59"/>
      <c r="H160" s="60"/>
      <c r="I160" s="32"/>
      <c r="J160" s="60"/>
      <c r="K160" s="61"/>
      <c r="L160" s="32"/>
      <c r="M160" s="65"/>
      <c r="N160" s="63"/>
      <c r="O160" s="64"/>
      <c r="P160" s="71"/>
      <c r="Q160" s="72"/>
      <c r="S160" s="1" t="str">
        <f t="shared" si="2"/>
        <v>B</v>
      </c>
    </row>
    <row r="161" spans="1:19" x14ac:dyDescent="0.55000000000000004">
      <c r="A161" s="1" t="e">
        <f>IF(#REF!="","",#REF!)</f>
        <v>#REF!</v>
      </c>
      <c r="C161" s="70" t="s">
        <v>300</v>
      </c>
      <c r="D161" s="58"/>
      <c r="E161" s="59"/>
      <c r="F161" s="59"/>
      <c r="G161" s="59"/>
      <c r="H161" s="60"/>
      <c r="I161" s="32"/>
      <c r="J161" s="60"/>
      <c r="K161" s="61"/>
      <c r="L161" s="32"/>
      <c r="M161" s="65"/>
      <c r="N161" s="63"/>
      <c r="O161" s="64"/>
      <c r="P161" s="71"/>
      <c r="Q161" s="72"/>
      <c r="S161" s="1" t="str">
        <f t="shared" si="2"/>
        <v>B</v>
      </c>
    </row>
    <row r="162" spans="1:19" x14ac:dyDescent="0.55000000000000004">
      <c r="A162" s="1" t="e">
        <f>IF(#REF!="","",#REF!)</f>
        <v>#REF!</v>
      </c>
      <c r="C162" s="70" t="s">
        <v>301</v>
      </c>
      <c r="D162" s="58"/>
      <c r="E162" s="59"/>
      <c r="F162" s="59"/>
      <c r="G162" s="59"/>
      <c r="H162" s="60"/>
      <c r="I162" s="32"/>
      <c r="J162" s="60"/>
      <c r="K162" s="61"/>
      <c r="L162" s="32"/>
      <c r="M162" s="65"/>
      <c r="N162" s="63"/>
      <c r="O162" s="64"/>
      <c r="P162" s="71"/>
      <c r="Q162" s="72"/>
      <c r="S162" s="1" t="str">
        <f t="shared" si="2"/>
        <v>B</v>
      </c>
    </row>
    <row r="163" spans="1:19" x14ac:dyDescent="0.55000000000000004">
      <c r="A163" s="1" t="e">
        <f>IF(#REF!="","",#REF!)</f>
        <v>#REF!</v>
      </c>
      <c r="C163" s="70" t="s">
        <v>302</v>
      </c>
      <c r="D163" s="58"/>
      <c r="E163" s="59"/>
      <c r="F163" s="59"/>
      <c r="G163" s="59"/>
      <c r="H163" s="60"/>
      <c r="I163" s="32"/>
      <c r="J163" s="60"/>
      <c r="K163" s="61"/>
      <c r="L163" s="32"/>
      <c r="M163" s="65"/>
      <c r="N163" s="63"/>
      <c r="O163" s="64"/>
      <c r="P163" s="71"/>
      <c r="Q163" s="72"/>
      <c r="S163" s="1" t="str">
        <f t="shared" si="2"/>
        <v>B</v>
      </c>
    </row>
    <row r="164" spans="1:19" x14ac:dyDescent="0.55000000000000004">
      <c r="A164" s="1" t="e">
        <f>IF(#REF!="","",#REF!)</f>
        <v>#REF!</v>
      </c>
      <c r="C164" s="70" t="s">
        <v>303</v>
      </c>
      <c r="D164" s="58"/>
      <c r="E164" s="59"/>
      <c r="F164" s="59"/>
      <c r="G164" s="59"/>
      <c r="H164" s="60"/>
      <c r="I164" s="32"/>
      <c r="J164" s="60"/>
      <c r="K164" s="61"/>
      <c r="L164" s="32"/>
      <c r="M164" s="65"/>
      <c r="N164" s="63"/>
      <c r="O164" s="64"/>
      <c r="P164" s="71"/>
      <c r="Q164" s="72"/>
      <c r="S164" s="1" t="str">
        <f t="shared" si="2"/>
        <v>B</v>
      </c>
    </row>
    <row r="165" spans="1:19" x14ac:dyDescent="0.55000000000000004">
      <c r="A165" s="1" t="e">
        <f>IF(#REF!="","",#REF!)</f>
        <v>#REF!</v>
      </c>
      <c r="C165" s="70" t="s">
        <v>304</v>
      </c>
      <c r="D165" s="58"/>
      <c r="E165" s="59"/>
      <c r="F165" s="59"/>
      <c r="G165" s="59"/>
      <c r="H165" s="60"/>
      <c r="I165" s="32"/>
      <c r="J165" s="60"/>
      <c r="K165" s="61"/>
      <c r="L165" s="32"/>
      <c r="M165" s="65"/>
      <c r="N165" s="63"/>
      <c r="O165" s="64"/>
      <c r="P165" s="71"/>
      <c r="Q165" s="72"/>
      <c r="S165" s="1" t="str">
        <f t="shared" si="2"/>
        <v>B</v>
      </c>
    </row>
    <row r="166" spans="1:19" x14ac:dyDescent="0.55000000000000004">
      <c r="A166" s="1" t="e">
        <f>IF(#REF!="","",#REF!)</f>
        <v>#REF!</v>
      </c>
      <c r="C166" s="70" t="s">
        <v>305</v>
      </c>
      <c r="D166" s="58"/>
      <c r="E166" s="59"/>
      <c r="F166" s="59"/>
      <c r="G166" s="59"/>
      <c r="H166" s="60"/>
      <c r="I166" s="32"/>
      <c r="J166" s="60"/>
      <c r="K166" s="61"/>
      <c r="L166" s="32"/>
      <c r="M166" s="65"/>
      <c r="N166" s="63"/>
      <c r="O166" s="64"/>
      <c r="P166" s="71"/>
      <c r="Q166" s="72"/>
      <c r="S166" s="1" t="str">
        <f t="shared" si="2"/>
        <v>B</v>
      </c>
    </row>
    <row r="167" spans="1:19" x14ac:dyDescent="0.55000000000000004">
      <c r="A167" s="1" t="e">
        <f>IF(#REF!="","",#REF!)</f>
        <v>#REF!</v>
      </c>
      <c r="C167" s="70" t="s">
        <v>306</v>
      </c>
      <c r="D167" s="58"/>
      <c r="E167" s="59"/>
      <c r="F167" s="59"/>
      <c r="G167" s="59"/>
      <c r="H167" s="60"/>
      <c r="I167" s="32"/>
      <c r="J167" s="60"/>
      <c r="K167" s="61"/>
      <c r="L167" s="32"/>
      <c r="M167" s="65"/>
      <c r="N167" s="63"/>
      <c r="O167" s="64"/>
      <c r="P167" s="71"/>
      <c r="Q167" s="72"/>
      <c r="S167" s="1" t="str">
        <f t="shared" si="2"/>
        <v>B</v>
      </c>
    </row>
    <row r="168" spans="1:19" x14ac:dyDescent="0.55000000000000004">
      <c r="A168" s="1" t="e">
        <f>IF(#REF!="","",#REF!)</f>
        <v>#REF!</v>
      </c>
      <c r="C168" s="70" t="s">
        <v>307</v>
      </c>
      <c r="D168" s="58"/>
      <c r="E168" s="59"/>
      <c r="F168" s="59"/>
      <c r="G168" s="59"/>
      <c r="H168" s="60"/>
      <c r="I168" s="32"/>
      <c r="J168" s="60"/>
      <c r="K168" s="61"/>
      <c r="L168" s="32"/>
      <c r="M168" s="65"/>
      <c r="N168" s="63"/>
      <c r="O168" s="64"/>
      <c r="P168" s="71"/>
      <c r="Q168" s="72"/>
      <c r="S168" s="1" t="str">
        <f t="shared" si="2"/>
        <v>B</v>
      </c>
    </row>
    <row r="169" spans="1:19" x14ac:dyDescent="0.55000000000000004">
      <c r="A169" s="1" t="e">
        <f>IF(#REF!="","",#REF!)</f>
        <v>#REF!</v>
      </c>
      <c r="C169" s="70" t="s">
        <v>308</v>
      </c>
      <c r="D169" s="58"/>
      <c r="E169" s="59"/>
      <c r="F169" s="59"/>
      <c r="G169" s="59"/>
      <c r="H169" s="60"/>
      <c r="I169" s="32"/>
      <c r="J169" s="60"/>
      <c r="K169" s="61"/>
      <c r="L169" s="32"/>
      <c r="M169" s="65"/>
      <c r="N169" s="63"/>
      <c r="O169" s="64"/>
      <c r="P169" s="71"/>
      <c r="Q169" s="72"/>
      <c r="S169" s="1" t="str">
        <f t="shared" si="2"/>
        <v>B</v>
      </c>
    </row>
    <row r="170" spans="1:19" x14ac:dyDescent="0.55000000000000004">
      <c r="A170" s="1" t="e">
        <f>IF(#REF!="","",#REF!)</f>
        <v>#REF!</v>
      </c>
      <c r="C170" s="70" t="s">
        <v>309</v>
      </c>
      <c r="D170" s="58"/>
      <c r="E170" s="59"/>
      <c r="F170" s="59"/>
      <c r="G170" s="59"/>
      <c r="H170" s="60"/>
      <c r="I170" s="32"/>
      <c r="J170" s="60"/>
      <c r="K170" s="61"/>
      <c r="L170" s="32"/>
      <c r="M170" s="65"/>
      <c r="N170" s="63"/>
      <c r="O170" s="64"/>
      <c r="P170" s="71"/>
      <c r="Q170" s="72"/>
      <c r="S170" s="1" t="str">
        <f t="shared" ref="S170:S233" si="3">IF(E170="キャンセル","",IF(G170="故障","A",IF(G170="紛失・盗難","A",IF(G170="キッティング","A","B"))))</f>
        <v>B</v>
      </c>
    </row>
    <row r="171" spans="1:19" x14ac:dyDescent="0.55000000000000004">
      <c r="A171" s="1" t="e">
        <f>IF(#REF!="","",#REF!)</f>
        <v>#REF!</v>
      </c>
      <c r="C171" s="70" t="s">
        <v>310</v>
      </c>
      <c r="D171" s="58"/>
      <c r="E171" s="59"/>
      <c r="F171" s="59"/>
      <c r="G171" s="59"/>
      <c r="H171" s="60"/>
      <c r="I171" s="32"/>
      <c r="J171" s="60"/>
      <c r="K171" s="61"/>
      <c r="L171" s="32"/>
      <c r="M171" s="65"/>
      <c r="N171" s="63"/>
      <c r="O171" s="64"/>
      <c r="P171" s="71"/>
      <c r="Q171" s="72"/>
      <c r="S171" s="1" t="str">
        <f t="shared" si="3"/>
        <v>B</v>
      </c>
    </row>
    <row r="172" spans="1:19" x14ac:dyDescent="0.55000000000000004">
      <c r="A172" s="1" t="e">
        <f>IF(#REF!="","",#REF!)</f>
        <v>#REF!</v>
      </c>
      <c r="C172" s="70" t="s">
        <v>311</v>
      </c>
      <c r="D172" s="58"/>
      <c r="E172" s="59"/>
      <c r="F172" s="59"/>
      <c r="G172" s="59"/>
      <c r="H172" s="60"/>
      <c r="I172" s="32"/>
      <c r="J172" s="60"/>
      <c r="K172" s="61"/>
      <c r="L172" s="32"/>
      <c r="M172" s="65"/>
      <c r="N172" s="63"/>
      <c r="O172" s="64"/>
      <c r="P172" s="71"/>
      <c r="Q172" s="72"/>
      <c r="S172" s="1" t="str">
        <f t="shared" si="3"/>
        <v>B</v>
      </c>
    </row>
    <row r="173" spans="1:19" x14ac:dyDescent="0.55000000000000004">
      <c r="A173" s="1" t="e">
        <f>IF(#REF!="","",#REF!)</f>
        <v>#REF!</v>
      </c>
      <c r="C173" s="70" t="s">
        <v>312</v>
      </c>
      <c r="D173" s="58"/>
      <c r="E173" s="59"/>
      <c r="F173" s="59"/>
      <c r="G173" s="59"/>
      <c r="H173" s="60"/>
      <c r="I173" s="32"/>
      <c r="J173" s="60"/>
      <c r="K173" s="61"/>
      <c r="L173" s="32"/>
      <c r="M173" s="65"/>
      <c r="N173" s="63"/>
      <c r="O173" s="64"/>
      <c r="P173" s="71"/>
      <c r="Q173" s="72"/>
      <c r="S173" s="1" t="str">
        <f t="shared" si="3"/>
        <v>B</v>
      </c>
    </row>
    <row r="174" spans="1:19" x14ac:dyDescent="0.55000000000000004">
      <c r="A174" s="1" t="e">
        <f>IF(#REF!="","",#REF!)</f>
        <v>#REF!</v>
      </c>
      <c r="C174" s="70" t="s">
        <v>313</v>
      </c>
      <c r="D174" s="58"/>
      <c r="E174" s="59"/>
      <c r="F174" s="59"/>
      <c r="G174" s="59"/>
      <c r="H174" s="60"/>
      <c r="I174" s="32"/>
      <c r="J174" s="60"/>
      <c r="K174" s="61"/>
      <c r="L174" s="32"/>
      <c r="M174" s="65"/>
      <c r="N174" s="63"/>
      <c r="O174" s="64"/>
      <c r="P174" s="71"/>
      <c r="Q174" s="72"/>
      <c r="S174" s="1" t="str">
        <f t="shared" si="3"/>
        <v>B</v>
      </c>
    </row>
    <row r="175" spans="1:19" x14ac:dyDescent="0.55000000000000004">
      <c r="A175" s="1" t="e">
        <f>IF(#REF!="","",#REF!)</f>
        <v>#REF!</v>
      </c>
      <c r="C175" s="70" t="s">
        <v>314</v>
      </c>
      <c r="D175" s="58"/>
      <c r="E175" s="59"/>
      <c r="F175" s="59"/>
      <c r="G175" s="59"/>
      <c r="H175" s="60"/>
      <c r="I175" s="32"/>
      <c r="J175" s="60"/>
      <c r="K175" s="61"/>
      <c r="L175" s="32"/>
      <c r="M175" s="65"/>
      <c r="N175" s="63"/>
      <c r="O175" s="64"/>
      <c r="P175" s="71"/>
      <c r="Q175" s="72"/>
      <c r="S175" s="1" t="str">
        <f t="shared" si="3"/>
        <v>B</v>
      </c>
    </row>
    <row r="176" spans="1:19" x14ac:dyDescent="0.55000000000000004">
      <c r="A176" s="1" t="e">
        <f>IF(#REF!="","",#REF!)</f>
        <v>#REF!</v>
      </c>
      <c r="C176" s="70" t="s">
        <v>315</v>
      </c>
      <c r="D176" s="58"/>
      <c r="E176" s="59"/>
      <c r="F176" s="59"/>
      <c r="G176" s="59"/>
      <c r="H176" s="60"/>
      <c r="I176" s="32"/>
      <c r="J176" s="60"/>
      <c r="K176" s="61"/>
      <c r="L176" s="32"/>
      <c r="M176" s="65"/>
      <c r="N176" s="63"/>
      <c r="O176" s="64"/>
      <c r="P176" s="71"/>
      <c r="Q176" s="72"/>
      <c r="S176" s="1" t="str">
        <f t="shared" si="3"/>
        <v>B</v>
      </c>
    </row>
    <row r="177" spans="1:19" x14ac:dyDescent="0.55000000000000004">
      <c r="A177" s="1" t="e">
        <f>IF(#REF!="","",#REF!)</f>
        <v>#REF!</v>
      </c>
      <c r="C177" s="70" t="s">
        <v>316</v>
      </c>
      <c r="D177" s="58"/>
      <c r="E177" s="59"/>
      <c r="F177" s="59"/>
      <c r="G177" s="59"/>
      <c r="H177" s="60"/>
      <c r="I177" s="32"/>
      <c r="J177" s="60"/>
      <c r="K177" s="61"/>
      <c r="L177" s="32"/>
      <c r="M177" s="65"/>
      <c r="N177" s="63"/>
      <c r="O177" s="64"/>
      <c r="P177" s="71"/>
      <c r="Q177" s="72"/>
      <c r="S177" s="1" t="str">
        <f t="shared" si="3"/>
        <v>B</v>
      </c>
    </row>
    <row r="178" spans="1:19" x14ac:dyDescent="0.55000000000000004">
      <c r="A178" s="1" t="e">
        <f>IF(#REF!="","",#REF!)</f>
        <v>#REF!</v>
      </c>
      <c r="C178" s="70" t="s">
        <v>317</v>
      </c>
      <c r="D178" s="58"/>
      <c r="E178" s="59"/>
      <c r="F178" s="59"/>
      <c r="G178" s="59"/>
      <c r="H178" s="60"/>
      <c r="I178" s="32"/>
      <c r="J178" s="60"/>
      <c r="K178" s="61"/>
      <c r="L178" s="32"/>
      <c r="M178" s="65"/>
      <c r="N178" s="63"/>
      <c r="O178" s="64"/>
      <c r="P178" s="71"/>
      <c r="Q178" s="72"/>
      <c r="S178" s="1" t="str">
        <f t="shared" si="3"/>
        <v>B</v>
      </c>
    </row>
    <row r="179" spans="1:19" x14ac:dyDescent="0.55000000000000004">
      <c r="A179" s="1" t="e">
        <f>IF(#REF!="","",#REF!)</f>
        <v>#REF!</v>
      </c>
      <c r="C179" s="70" t="s">
        <v>318</v>
      </c>
      <c r="D179" s="58"/>
      <c r="E179" s="59"/>
      <c r="F179" s="59"/>
      <c r="G179" s="59"/>
      <c r="H179" s="60"/>
      <c r="I179" s="32"/>
      <c r="J179" s="60"/>
      <c r="K179" s="61"/>
      <c r="L179" s="32"/>
      <c r="M179" s="65"/>
      <c r="N179" s="63"/>
      <c r="O179" s="64"/>
      <c r="P179" s="71"/>
      <c r="Q179" s="72"/>
      <c r="S179" s="1" t="str">
        <f t="shared" si="3"/>
        <v>B</v>
      </c>
    </row>
    <row r="180" spans="1:19" x14ac:dyDescent="0.55000000000000004">
      <c r="A180" s="1" t="e">
        <f>IF(#REF!="","",#REF!)</f>
        <v>#REF!</v>
      </c>
      <c r="C180" s="70" t="s">
        <v>319</v>
      </c>
      <c r="D180" s="58"/>
      <c r="E180" s="59"/>
      <c r="F180" s="59"/>
      <c r="G180" s="59"/>
      <c r="H180" s="60"/>
      <c r="I180" s="32"/>
      <c r="J180" s="60"/>
      <c r="K180" s="61"/>
      <c r="L180" s="32"/>
      <c r="M180" s="65"/>
      <c r="N180" s="63"/>
      <c r="O180" s="64"/>
      <c r="P180" s="71"/>
      <c r="Q180" s="72"/>
      <c r="S180" s="1" t="str">
        <f t="shared" si="3"/>
        <v>B</v>
      </c>
    </row>
    <row r="181" spans="1:19" x14ac:dyDescent="0.55000000000000004">
      <c r="A181" s="1" t="e">
        <f>IF(#REF!="","",#REF!)</f>
        <v>#REF!</v>
      </c>
      <c r="C181" s="70" t="s">
        <v>320</v>
      </c>
      <c r="D181" s="58"/>
      <c r="E181" s="59"/>
      <c r="F181" s="59"/>
      <c r="G181" s="59"/>
      <c r="H181" s="60"/>
      <c r="I181" s="32"/>
      <c r="J181" s="60"/>
      <c r="K181" s="61"/>
      <c r="L181" s="32"/>
      <c r="M181" s="65"/>
      <c r="N181" s="63"/>
      <c r="O181" s="64"/>
      <c r="P181" s="71"/>
      <c r="Q181" s="72"/>
      <c r="S181" s="1" t="str">
        <f t="shared" si="3"/>
        <v>B</v>
      </c>
    </row>
    <row r="182" spans="1:19" x14ac:dyDescent="0.55000000000000004">
      <c r="A182" s="1" t="e">
        <f>IF(#REF!="","",#REF!)</f>
        <v>#REF!</v>
      </c>
      <c r="C182" s="70" t="s">
        <v>321</v>
      </c>
      <c r="D182" s="58"/>
      <c r="E182" s="59"/>
      <c r="F182" s="59"/>
      <c r="G182" s="59"/>
      <c r="H182" s="60"/>
      <c r="I182" s="32"/>
      <c r="J182" s="60"/>
      <c r="K182" s="61"/>
      <c r="L182" s="32"/>
      <c r="M182" s="65"/>
      <c r="N182" s="63"/>
      <c r="O182" s="64"/>
      <c r="P182" s="71"/>
      <c r="Q182" s="72"/>
      <c r="S182" s="1" t="str">
        <f t="shared" si="3"/>
        <v>B</v>
      </c>
    </row>
    <row r="183" spans="1:19" x14ac:dyDescent="0.55000000000000004">
      <c r="A183" s="1" t="e">
        <f>IF(#REF!="","",#REF!)</f>
        <v>#REF!</v>
      </c>
      <c r="C183" s="70" t="s">
        <v>322</v>
      </c>
      <c r="D183" s="58"/>
      <c r="E183" s="59"/>
      <c r="F183" s="59"/>
      <c r="G183" s="59"/>
      <c r="H183" s="60"/>
      <c r="I183" s="32"/>
      <c r="J183" s="60"/>
      <c r="K183" s="61"/>
      <c r="L183" s="32"/>
      <c r="M183" s="65"/>
      <c r="N183" s="63"/>
      <c r="O183" s="64"/>
      <c r="P183" s="71"/>
      <c r="Q183" s="72"/>
      <c r="S183" s="1" t="str">
        <f t="shared" si="3"/>
        <v>B</v>
      </c>
    </row>
    <row r="184" spans="1:19" x14ac:dyDescent="0.55000000000000004">
      <c r="A184" s="1" t="e">
        <f>IF(#REF!="","",#REF!)</f>
        <v>#REF!</v>
      </c>
      <c r="C184" s="70" t="s">
        <v>323</v>
      </c>
      <c r="D184" s="58"/>
      <c r="E184" s="59"/>
      <c r="F184" s="59"/>
      <c r="G184" s="59"/>
      <c r="H184" s="60"/>
      <c r="I184" s="32"/>
      <c r="J184" s="60"/>
      <c r="K184" s="61"/>
      <c r="L184" s="32"/>
      <c r="M184" s="65"/>
      <c r="N184" s="63"/>
      <c r="O184" s="64"/>
      <c r="P184" s="71"/>
      <c r="Q184" s="72"/>
      <c r="S184" s="1" t="str">
        <f t="shared" si="3"/>
        <v>B</v>
      </c>
    </row>
    <row r="185" spans="1:19" x14ac:dyDescent="0.55000000000000004">
      <c r="A185" s="1" t="e">
        <f>IF(#REF!="","",#REF!)</f>
        <v>#REF!</v>
      </c>
      <c r="C185" s="70" t="s">
        <v>324</v>
      </c>
      <c r="D185" s="58"/>
      <c r="E185" s="59"/>
      <c r="F185" s="59"/>
      <c r="G185" s="59"/>
      <c r="H185" s="60"/>
      <c r="I185" s="32"/>
      <c r="J185" s="60"/>
      <c r="K185" s="61"/>
      <c r="L185" s="32"/>
      <c r="M185" s="65"/>
      <c r="N185" s="63"/>
      <c r="O185" s="64"/>
      <c r="P185" s="71"/>
      <c r="Q185" s="72"/>
      <c r="S185" s="1" t="str">
        <f t="shared" si="3"/>
        <v>B</v>
      </c>
    </row>
    <row r="186" spans="1:19" x14ac:dyDescent="0.55000000000000004">
      <c r="A186" s="1" t="e">
        <f>IF(#REF!="","",#REF!)</f>
        <v>#REF!</v>
      </c>
      <c r="C186" s="70" t="s">
        <v>325</v>
      </c>
      <c r="D186" s="58"/>
      <c r="E186" s="59"/>
      <c r="F186" s="59"/>
      <c r="G186" s="59"/>
      <c r="H186" s="60"/>
      <c r="I186" s="32"/>
      <c r="J186" s="60"/>
      <c r="K186" s="61"/>
      <c r="L186" s="32"/>
      <c r="M186" s="65"/>
      <c r="N186" s="63"/>
      <c r="O186" s="64"/>
      <c r="P186" s="71"/>
      <c r="Q186" s="72"/>
      <c r="S186" s="1" t="str">
        <f t="shared" si="3"/>
        <v>B</v>
      </c>
    </row>
    <row r="187" spans="1:19" x14ac:dyDescent="0.55000000000000004">
      <c r="A187" s="1" t="e">
        <f>IF(#REF!="","",#REF!)</f>
        <v>#REF!</v>
      </c>
      <c r="C187" s="70" t="s">
        <v>326</v>
      </c>
      <c r="D187" s="58"/>
      <c r="E187" s="59"/>
      <c r="F187" s="59"/>
      <c r="G187" s="59"/>
      <c r="H187" s="60"/>
      <c r="I187" s="32"/>
      <c r="J187" s="60"/>
      <c r="K187" s="61"/>
      <c r="L187" s="32"/>
      <c r="M187" s="65"/>
      <c r="N187" s="63"/>
      <c r="O187" s="64"/>
      <c r="P187" s="71"/>
      <c r="Q187" s="72"/>
      <c r="S187" s="1" t="str">
        <f t="shared" si="3"/>
        <v>B</v>
      </c>
    </row>
    <row r="188" spans="1:19" x14ac:dyDescent="0.55000000000000004">
      <c r="A188" s="1" t="e">
        <f>IF(#REF!="","",#REF!)</f>
        <v>#REF!</v>
      </c>
      <c r="C188" s="70" t="s">
        <v>327</v>
      </c>
      <c r="D188" s="58"/>
      <c r="E188" s="59"/>
      <c r="F188" s="59"/>
      <c r="G188" s="59"/>
      <c r="H188" s="60"/>
      <c r="I188" s="32"/>
      <c r="J188" s="60"/>
      <c r="K188" s="61"/>
      <c r="L188" s="32"/>
      <c r="M188" s="65"/>
      <c r="N188" s="63"/>
      <c r="O188" s="64"/>
      <c r="P188" s="71"/>
      <c r="Q188" s="72"/>
      <c r="S188" s="1" t="str">
        <f t="shared" si="3"/>
        <v>B</v>
      </c>
    </row>
    <row r="189" spans="1:19" x14ac:dyDescent="0.55000000000000004">
      <c r="A189" s="1" t="e">
        <f>IF(#REF!="","",#REF!)</f>
        <v>#REF!</v>
      </c>
      <c r="C189" s="70" t="s">
        <v>328</v>
      </c>
      <c r="D189" s="58"/>
      <c r="E189" s="59"/>
      <c r="F189" s="59"/>
      <c r="G189" s="59"/>
      <c r="H189" s="60"/>
      <c r="I189" s="32"/>
      <c r="J189" s="60"/>
      <c r="K189" s="61"/>
      <c r="L189" s="32"/>
      <c r="M189" s="65"/>
      <c r="N189" s="63"/>
      <c r="O189" s="64"/>
      <c r="P189" s="71"/>
      <c r="Q189" s="72"/>
      <c r="S189" s="1" t="str">
        <f t="shared" si="3"/>
        <v>B</v>
      </c>
    </row>
    <row r="190" spans="1:19" x14ac:dyDescent="0.55000000000000004">
      <c r="A190" s="1" t="e">
        <f>IF(#REF!="","",#REF!)</f>
        <v>#REF!</v>
      </c>
      <c r="C190" s="70" t="s">
        <v>329</v>
      </c>
      <c r="D190" s="58"/>
      <c r="E190" s="59"/>
      <c r="F190" s="59"/>
      <c r="G190" s="59"/>
      <c r="H190" s="60"/>
      <c r="I190" s="32"/>
      <c r="J190" s="60"/>
      <c r="K190" s="61"/>
      <c r="L190" s="32"/>
      <c r="M190" s="65"/>
      <c r="N190" s="63"/>
      <c r="O190" s="64"/>
      <c r="P190" s="71"/>
      <c r="Q190" s="72"/>
      <c r="S190" s="1" t="str">
        <f t="shared" si="3"/>
        <v>B</v>
      </c>
    </row>
    <row r="191" spans="1:19" x14ac:dyDescent="0.55000000000000004">
      <c r="A191" s="1" t="e">
        <f>IF(#REF!="","",#REF!)</f>
        <v>#REF!</v>
      </c>
      <c r="C191" s="70" t="s">
        <v>330</v>
      </c>
      <c r="D191" s="58"/>
      <c r="E191" s="59"/>
      <c r="F191" s="59"/>
      <c r="G191" s="59"/>
      <c r="H191" s="60"/>
      <c r="I191" s="32"/>
      <c r="J191" s="60"/>
      <c r="K191" s="61"/>
      <c r="L191" s="32"/>
      <c r="M191" s="65"/>
      <c r="N191" s="63"/>
      <c r="O191" s="64"/>
      <c r="P191" s="71"/>
      <c r="Q191" s="72"/>
      <c r="S191" s="1" t="str">
        <f t="shared" si="3"/>
        <v>B</v>
      </c>
    </row>
    <row r="192" spans="1:19" x14ac:dyDescent="0.55000000000000004">
      <c r="A192" s="1" t="e">
        <f>IF(#REF!="","",#REF!)</f>
        <v>#REF!</v>
      </c>
      <c r="C192" s="70" t="s">
        <v>331</v>
      </c>
      <c r="D192" s="58"/>
      <c r="E192" s="59"/>
      <c r="F192" s="59"/>
      <c r="G192" s="59"/>
      <c r="H192" s="60"/>
      <c r="I192" s="32"/>
      <c r="J192" s="60"/>
      <c r="K192" s="61"/>
      <c r="L192" s="32"/>
      <c r="M192" s="65"/>
      <c r="N192" s="63"/>
      <c r="O192" s="64"/>
      <c r="P192" s="71"/>
      <c r="Q192" s="72"/>
      <c r="S192" s="1" t="str">
        <f t="shared" si="3"/>
        <v>B</v>
      </c>
    </row>
    <row r="193" spans="1:19" x14ac:dyDescent="0.55000000000000004">
      <c r="A193" s="1" t="e">
        <f>IF(#REF!="","",#REF!)</f>
        <v>#REF!</v>
      </c>
      <c r="C193" s="70" t="s">
        <v>332</v>
      </c>
      <c r="D193" s="58"/>
      <c r="E193" s="59"/>
      <c r="F193" s="59"/>
      <c r="G193" s="59"/>
      <c r="H193" s="60"/>
      <c r="I193" s="32"/>
      <c r="J193" s="60"/>
      <c r="K193" s="61"/>
      <c r="L193" s="32"/>
      <c r="M193" s="65"/>
      <c r="N193" s="63"/>
      <c r="O193" s="64"/>
      <c r="P193" s="71"/>
      <c r="Q193" s="72"/>
      <c r="S193" s="1" t="str">
        <f t="shared" si="3"/>
        <v>B</v>
      </c>
    </row>
    <row r="194" spans="1:19" x14ac:dyDescent="0.55000000000000004">
      <c r="A194" s="1" t="e">
        <f>IF(#REF!="","",#REF!)</f>
        <v>#REF!</v>
      </c>
      <c r="C194" s="70" t="s">
        <v>333</v>
      </c>
      <c r="D194" s="58"/>
      <c r="E194" s="59"/>
      <c r="F194" s="59"/>
      <c r="G194" s="59"/>
      <c r="H194" s="60"/>
      <c r="I194" s="32"/>
      <c r="J194" s="60"/>
      <c r="K194" s="61"/>
      <c r="L194" s="32"/>
      <c r="M194" s="65"/>
      <c r="N194" s="63"/>
      <c r="O194" s="64"/>
      <c r="P194" s="71"/>
      <c r="Q194" s="72"/>
      <c r="S194" s="1" t="str">
        <f t="shared" si="3"/>
        <v>B</v>
      </c>
    </row>
    <row r="195" spans="1:19" x14ac:dyDescent="0.55000000000000004">
      <c r="A195" s="1" t="e">
        <f>IF(#REF!="","",#REF!)</f>
        <v>#REF!</v>
      </c>
      <c r="C195" s="70" t="s">
        <v>334</v>
      </c>
      <c r="D195" s="58"/>
      <c r="E195" s="59"/>
      <c r="F195" s="59"/>
      <c r="G195" s="59"/>
      <c r="H195" s="60"/>
      <c r="I195" s="32"/>
      <c r="J195" s="60"/>
      <c r="K195" s="61"/>
      <c r="L195" s="32"/>
      <c r="M195" s="65"/>
      <c r="N195" s="63"/>
      <c r="O195" s="64"/>
      <c r="P195" s="71"/>
      <c r="Q195" s="72"/>
      <c r="S195" s="1" t="str">
        <f t="shared" si="3"/>
        <v>B</v>
      </c>
    </row>
    <row r="196" spans="1:19" x14ac:dyDescent="0.55000000000000004">
      <c r="A196" s="1" t="e">
        <f>IF(#REF!="","",#REF!)</f>
        <v>#REF!</v>
      </c>
      <c r="C196" s="70" t="s">
        <v>335</v>
      </c>
      <c r="D196" s="58"/>
      <c r="E196" s="59"/>
      <c r="F196" s="59"/>
      <c r="G196" s="59"/>
      <c r="H196" s="60"/>
      <c r="I196" s="32"/>
      <c r="J196" s="60"/>
      <c r="K196" s="61"/>
      <c r="L196" s="32"/>
      <c r="M196" s="65"/>
      <c r="N196" s="63"/>
      <c r="O196" s="64"/>
      <c r="P196" s="71"/>
      <c r="Q196" s="72"/>
      <c r="S196" s="1" t="str">
        <f t="shared" si="3"/>
        <v>B</v>
      </c>
    </row>
    <row r="197" spans="1:19" x14ac:dyDescent="0.55000000000000004">
      <c r="A197" s="1" t="e">
        <f>IF(#REF!="","",#REF!)</f>
        <v>#REF!</v>
      </c>
      <c r="C197" s="70" t="s">
        <v>336</v>
      </c>
      <c r="D197" s="58"/>
      <c r="E197" s="59"/>
      <c r="F197" s="59"/>
      <c r="G197" s="59"/>
      <c r="H197" s="60"/>
      <c r="I197" s="32"/>
      <c r="J197" s="60"/>
      <c r="K197" s="61"/>
      <c r="L197" s="32"/>
      <c r="M197" s="65"/>
      <c r="N197" s="63"/>
      <c r="O197" s="64"/>
      <c r="P197" s="71"/>
      <c r="Q197" s="72"/>
      <c r="S197" s="1" t="str">
        <f t="shared" si="3"/>
        <v>B</v>
      </c>
    </row>
    <row r="198" spans="1:19" x14ac:dyDescent="0.55000000000000004">
      <c r="A198" s="1" t="e">
        <f>IF(#REF!="","",#REF!)</f>
        <v>#REF!</v>
      </c>
      <c r="C198" s="70" t="s">
        <v>337</v>
      </c>
      <c r="D198" s="58"/>
      <c r="E198" s="59"/>
      <c r="F198" s="59"/>
      <c r="G198" s="59"/>
      <c r="H198" s="60"/>
      <c r="I198" s="32"/>
      <c r="J198" s="60"/>
      <c r="K198" s="61"/>
      <c r="L198" s="32"/>
      <c r="M198" s="65"/>
      <c r="N198" s="63"/>
      <c r="O198" s="64"/>
      <c r="P198" s="71"/>
      <c r="Q198" s="72"/>
      <c r="S198" s="1" t="str">
        <f t="shared" si="3"/>
        <v>B</v>
      </c>
    </row>
    <row r="199" spans="1:19" x14ac:dyDescent="0.55000000000000004">
      <c r="A199" s="1" t="e">
        <f>IF(#REF!="","",#REF!)</f>
        <v>#REF!</v>
      </c>
      <c r="C199" s="70" t="s">
        <v>338</v>
      </c>
      <c r="D199" s="58"/>
      <c r="E199" s="59"/>
      <c r="F199" s="59"/>
      <c r="G199" s="59"/>
      <c r="H199" s="60"/>
      <c r="I199" s="32"/>
      <c r="J199" s="60"/>
      <c r="K199" s="61"/>
      <c r="L199" s="32"/>
      <c r="M199" s="65"/>
      <c r="N199" s="63"/>
      <c r="O199" s="64"/>
      <c r="P199" s="71"/>
      <c r="Q199" s="72"/>
      <c r="S199" s="1" t="str">
        <f t="shared" si="3"/>
        <v>B</v>
      </c>
    </row>
    <row r="200" spans="1:19" x14ac:dyDescent="0.55000000000000004">
      <c r="A200" s="1" t="e">
        <f>IF(#REF!="","",#REF!)</f>
        <v>#REF!</v>
      </c>
      <c r="C200" s="70" t="s">
        <v>339</v>
      </c>
      <c r="D200" s="58"/>
      <c r="E200" s="59"/>
      <c r="F200" s="59"/>
      <c r="G200" s="59"/>
      <c r="H200" s="60"/>
      <c r="I200" s="32"/>
      <c r="J200" s="60"/>
      <c r="K200" s="61"/>
      <c r="L200" s="32"/>
      <c r="M200" s="65"/>
      <c r="N200" s="63"/>
      <c r="O200" s="64"/>
      <c r="P200" s="71"/>
      <c r="Q200" s="72"/>
      <c r="S200" s="1" t="str">
        <f t="shared" si="3"/>
        <v>B</v>
      </c>
    </row>
    <row r="201" spans="1:19" x14ac:dyDescent="0.55000000000000004">
      <c r="A201" s="1" t="e">
        <f>IF(#REF!="","",#REF!)</f>
        <v>#REF!</v>
      </c>
      <c r="C201" s="70" t="s">
        <v>340</v>
      </c>
      <c r="D201" s="58"/>
      <c r="E201" s="59"/>
      <c r="F201" s="59"/>
      <c r="G201" s="59"/>
      <c r="H201" s="60"/>
      <c r="I201" s="32"/>
      <c r="J201" s="60"/>
      <c r="K201" s="61"/>
      <c r="L201" s="32"/>
      <c r="M201" s="65"/>
      <c r="N201" s="63"/>
      <c r="O201" s="64"/>
      <c r="P201" s="71"/>
      <c r="Q201" s="72"/>
      <c r="S201" s="1" t="str">
        <f t="shared" si="3"/>
        <v>B</v>
      </c>
    </row>
    <row r="202" spans="1:19" x14ac:dyDescent="0.55000000000000004">
      <c r="A202" s="1" t="e">
        <f>IF(#REF!="","",#REF!)</f>
        <v>#REF!</v>
      </c>
      <c r="C202" s="70" t="s">
        <v>341</v>
      </c>
      <c r="D202" s="58"/>
      <c r="E202" s="59"/>
      <c r="F202" s="59"/>
      <c r="G202" s="59"/>
      <c r="H202" s="60"/>
      <c r="I202" s="32"/>
      <c r="J202" s="60"/>
      <c r="K202" s="61"/>
      <c r="L202" s="32"/>
      <c r="M202" s="65"/>
      <c r="N202" s="63"/>
      <c r="O202" s="64"/>
      <c r="P202" s="71"/>
      <c r="Q202" s="72"/>
      <c r="S202" s="1" t="str">
        <f t="shared" si="3"/>
        <v>B</v>
      </c>
    </row>
    <row r="203" spans="1:19" x14ac:dyDescent="0.55000000000000004">
      <c r="A203" s="1" t="e">
        <f>IF(#REF!="","",#REF!)</f>
        <v>#REF!</v>
      </c>
      <c r="C203" s="70" t="s">
        <v>342</v>
      </c>
      <c r="D203" s="58"/>
      <c r="E203" s="59"/>
      <c r="F203" s="59"/>
      <c r="G203" s="59"/>
      <c r="H203" s="60"/>
      <c r="I203" s="32"/>
      <c r="J203" s="60"/>
      <c r="K203" s="61"/>
      <c r="L203" s="32"/>
      <c r="M203" s="65"/>
      <c r="N203" s="63"/>
      <c r="O203" s="64"/>
      <c r="P203" s="71"/>
      <c r="Q203" s="72"/>
      <c r="S203" s="1" t="str">
        <f t="shared" si="3"/>
        <v>B</v>
      </c>
    </row>
    <row r="204" spans="1:19" x14ac:dyDescent="0.55000000000000004">
      <c r="A204" s="1" t="e">
        <f>IF(#REF!="","",#REF!)</f>
        <v>#REF!</v>
      </c>
      <c r="C204" s="70" t="s">
        <v>343</v>
      </c>
      <c r="D204" s="58"/>
      <c r="E204" s="59"/>
      <c r="F204" s="59"/>
      <c r="G204" s="59"/>
      <c r="H204" s="60"/>
      <c r="I204" s="32"/>
      <c r="J204" s="60"/>
      <c r="K204" s="61"/>
      <c r="L204" s="32"/>
      <c r="M204" s="65"/>
      <c r="N204" s="63"/>
      <c r="O204" s="64"/>
      <c r="P204" s="71"/>
      <c r="Q204" s="72"/>
      <c r="S204" s="1" t="str">
        <f t="shared" si="3"/>
        <v>B</v>
      </c>
    </row>
    <row r="205" spans="1:19" x14ac:dyDescent="0.55000000000000004">
      <c r="A205" s="1" t="e">
        <f>IF(#REF!="","",#REF!)</f>
        <v>#REF!</v>
      </c>
      <c r="C205" s="70" t="s">
        <v>344</v>
      </c>
      <c r="D205" s="58"/>
      <c r="E205" s="59"/>
      <c r="F205" s="59"/>
      <c r="G205" s="59"/>
      <c r="H205" s="60"/>
      <c r="I205" s="32"/>
      <c r="J205" s="60"/>
      <c r="K205" s="61"/>
      <c r="L205" s="32"/>
      <c r="M205" s="65"/>
      <c r="N205" s="63"/>
      <c r="O205" s="64"/>
      <c r="P205" s="71"/>
      <c r="Q205" s="72"/>
      <c r="S205" s="1" t="str">
        <f t="shared" si="3"/>
        <v>B</v>
      </c>
    </row>
    <row r="206" spans="1:19" x14ac:dyDescent="0.55000000000000004">
      <c r="A206" s="1" t="e">
        <f>IF(#REF!="","",#REF!)</f>
        <v>#REF!</v>
      </c>
      <c r="C206" s="70" t="s">
        <v>345</v>
      </c>
      <c r="D206" s="58"/>
      <c r="E206" s="59"/>
      <c r="F206" s="59"/>
      <c r="G206" s="59"/>
      <c r="H206" s="60"/>
      <c r="I206" s="32"/>
      <c r="J206" s="60"/>
      <c r="K206" s="61"/>
      <c r="L206" s="32"/>
      <c r="M206" s="65"/>
      <c r="N206" s="63"/>
      <c r="O206" s="64"/>
      <c r="P206" s="71"/>
      <c r="Q206" s="72"/>
      <c r="S206" s="1" t="str">
        <f t="shared" si="3"/>
        <v>B</v>
      </c>
    </row>
    <row r="207" spans="1:19" x14ac:dyDescent="0.55000000000000004">
      <c r="A207" s="1" t="e">
        <f>IF(#REF!="","",#REF!)</f>
        <v>#REF!</v>
      </c>
      <c r="C207" s="70" t="s">
        <v>346</v>
      </c>
      <c r="D207" s="58"/>
      <c r="E207" s="59"/>
      <c r="F207" s="59"/>
      <c r="G207" s="59"/>
      <c r="H207" s="60"/>
      <c r="I207" s="32"/>
      <c r="J207" s="60"/>
      <c r="K207" s="61"/>
      <c r="L207" s="32"/>
      <c r="M207" s="65"/>
      <c r="N207" s="63"/>
      <c r="O207" s="64"/>
      <c r="P207" s="71"/>
      <c r="Q207" s="72"/>
      <c r="S207" s="1" t="str">
        <f t="shared" si="3"/>
        <v>B</v>
      </c>
    </row>
    <row r="208" spans="1:19" x14ac:dyDescent="0.55000000000000004">
      <c r="A208" s="1" t="e">
        <f>IF(#REF!="","",#REF!)</f>
        <v>#REF!</v>
      </c>
      <c r="C208" s="70" t="s">
        <v>347</v>
      </c>
      <c r="D208" s="58"/>
      <c r="E208" s="59"/>
      <c r="F208" s="59"/>
      <c r="G208" s="59"/>
      <c r="H208" s="60"/>
      <c r="I208" s="32"/>
      <c r="J208" s="60"/>
      <c r="K208" s="61"/>
      <c r="L208" s="32"/>
      <c r="M208" s="65"/>
      <c r="N208" s="63"/>
      <c r="O208" s="64"/>
      <c r="P208" s="71"/>
      <c r="Q208" s="72"/>
      <c r="S208" s="1" t="str">
        <f t="shared" si="3"/>
        <v>B</v>
      </c>
    </row>
    <row r="209" spans="1:19" x14ac:dyDescent="0.55000000000000004">
      <c r="A209" s="1" t="e">
        <f>IF(#REF!="","",#REF!)</f>
        <v>#REF!</v>
      </c>
      <c r="C209" s="70" t="s">
        <v>348</v>
      </c>
      <c r="D209" s="58"/>
      <c r="E209" s="59"/>
      <c r="F209" s="59"/>
      <c r="G209" s="59"/>
      <c r="H209" s="60"/>
      <c r="I209" s="32"/>
      <c r="J209" s="60"/>
      <c r="K209" s="61"/>
      <c r="L209" s="32"/>
      <c r="M209" s="65"/>
      <c r="N209" s="63"/>
      <c r="O209" s="64"/>
      <c r="P209" s="71"/>
      <c r="Q209" s="72"/>
      <c r="S209" s="1" t="str">
        <f t="shared" si="3"/>
        <v>B</v>
      </c>
    </row>
    <row r="210" spans="1:19" x14ac:dyDescent="0.55000000000000004">
      <c r="A210" s="1" t="e">
        <f>IF(#REF!="","",#REF!)</f>
        <v>#REF!</v>
      </c>
      <c r="C210" s="70" t="s">
        <v>349</v>
      </c>
      <c r="D210" s="58"/>
      <c r="E210" s="59"/>
      <c r="F210" s="59"/>
      <c r="G210" s="59"/>
      <c r="H210" s="60"/>
      <c r="I210" s="32"/>
      <c r="J210" s="60"/>
      <c r="K210" s="61"/>
      <c r="L210" s="32"/>
      <c r="M210" s="65"/>
      <c r="N210" s="63"/>
      <c r="O210" s="64"/>
      <c r="P210" s="71"/>
      <c r="Q210" s="72"/>
      <c r="S210" s="1" t="str">
        <f t="shared" si="3"/>
        <v>B</v>
      </c>
    </row>
    <row r="211" spans="1:19" x14ac:dyDescent="0.55000000000000004">
      <c r="A211" s="1" t="e">
        <f>IF(#REF!="","",#REF!)</f>
        <v>#REF!</v>
      </c>
      <c r="C211" s="70" t="s">
        <v>350</v>
      </c>
      <c r="D211" s="58"/>
      <c r="E211" s="59"/>
      <c r="F211" s="59"/>
      <c r="G211" s="59"/>
      <c r="H211" s="60"/>
      <c r="I211" s="32"/>
      <c r="J211" s="60"/>
      <c r="K211" s="61"/>
      <c r="L211" s="32"/>
      <c r="M211" s="65"/>
      <c r="N211" s="63"/>
      <c r="O211" s="64"/>
      <c r="P211" s="71"/>
      <c r="Q211" s="72"/>
      <c r="S211" s="1" t="str">
        <f t="shared" si="3"/>
        <v>B</v>
      </c>
    </row>
    <row r="212" spans="1:19" x14ac:dyDescent="0.55000000000000004">
      <c r="A212" s="1" t="e">
        <f>IF(#REF!="","",#REF!)</f>
        <v>#REF!</v>
      </c>
      <c r="C212" s="70" t="s">
        <v>351</v>
      </c>
      <c r="D212" s="58"/>
      <c r="E212" s="59"/>
      <c r="F212" s="59"/>
      <c r="G212" s="59"/>
      <c r="H212" s="60"/>
      <c r="I212" s="32"/>
      <c r="J212" s="60"/>
      <c r="K212" s="61"/>
      <c r="L212" s="32"/>
      <c r="M212" s="65"/>
      <c r="N212" s="63"/>
      <c r="O212" s="64"/>
      <c r="P212" s="71"/>
      <c r="Q212" s="72"/>
      <c r="S212" s="1" t="str">
        <f t="shared" si="3"/>
        <v>B</v>
      </c>
    </row>
    <row r="213" spans="1:19" x14ac:dyDescent="0.55000000000000004">
      <c r="A213" s="1" t="e">
        <f>IF(#REF!="","",#REF!)</f>
        <v>#REF!</v>
      </c>
      <c r="C213" s="70" t="s">
        <v>352</v>
      </c>
      <c r="D213" s="58"/>
      <c r="E213" s="59"/>
      <c r="F213" s="59"/>
      <c r="G213" s="59"/>
      <c r="H213" s="60"/>
      <c r="I213" s="32"/>
      <c r="J213" s="60"/>
      <c r="K213" s="61"/>
      <c r="L213" s="32"/>
      <c r="M213" s="65"/>
      <c r="N213" s="63"/>
      <c r="O213" s="64"/>
      <c r="P213" s="71"/>
      <c r="Q213" s="72"/>
      <c r="S213" s="1" t="str">
        <f t="shared" si="3"/>
        <v>B</v>
      </c>
    </row>
    <row r="214" spans="1:19" x14ac:dyDescent="0.55000000000000004">
      <c r="A214" s="1" t="e">
        <f>IF(#REF!="","",#REF!)</f>
        <v>#REF!</v>
      </c>
      <c r="C214" s="70" t="s">
        <v>353</v>
      </c>
      <c r="D214" s="58"/>
      <c r="E214" s="59"/>
      <c r="F214" s="59"/>
      <c r="G214" s="59"/>
      <c r="H214" s="60"/>
      <c r="I214" s="32"/>
      <c r="J214" s="60"/>
      <c r="K214" s="61"/>
      <c r="L214" s="32"/>
      <c r="M214" s="65"/>
      <c r="N214" s="63"/>
      <c r="O214" s="64"/>
      <c r="P214" s="71"/>
      <c r="Q214" s="72"/>
      <c r="S214" s="1" t="str">
        <f t="shared" si="3"/>
        <v>B</v>
      </c>
    </row>
    <row r="215" spans="1:19" x14ac:dyDescent="0.55000000000000004">
      <c r="A215" s="1" t="e">
        <f>IF(#REF!="","",#REF!)</f>
        <v>#REF!</v>
      </c>
      <c r="C215" s="70" t="s">
        <v>354</v>
      </c>
      <c r="D215" s="58"/>
      <c r="E215" s="59"/>
      <c r="F215" s="59"/>
      <c r="G215" s="59"/>
      <c r="H215" s="60"/>
      <c r="I215" s="32"/>
      <c r="J215" s="60"/>
      <c r="K215" s="61"/>
      <c r="L215" s="32"/>
      <c r="M215" s="65"/>
      <c r="N215" s="63"/>
      <c r="O215" s="64"/>
      <c r="P215" s="71"/>
      <c r="Q215" s="72"/>
      <c r="S215" s="1" t="str">
        <f t="shared" si="3"/>
        <v>B</v>
      </c>
    </row>
    <row r="216" spans="1:19" x14ac:dyDescent="0.55000000000000004">
      <c r="A216" s="1" t="e">
        <f>IF(#REF!="","",#REF!)</f>
        <v>#REF!</v>
      </c>
      <c r="C216" s="70" t="s">
        <v>355</v>
      </c>
      <c r="D216" s="58"/>
      <c r="E216" s="59"/>
      <c r="F216" s="59"/>
      <c r="G216" s="59"/>
      <c r="H216" s="60"/>
      <c r="I216" s="32"/>
      <c r="J216" s="60"/>
      <c r="K216" s="61"/>
      <c r="L216" s="32"/>
      <c r="M216" s="65"/>
      <c r="N216" s="63"/>
      <c r="O216" s="64"/>
      <c r="P216" s="71"/>
      <c r="Q216" s="72"/>
      <c r="S216" s="1" t="str">
        <f t="shared" si="3"/>
        <v>B</v>
      </c>
    </row>
    <row r="217" spans="1:19" x14ac:dyDescent="0.55000000000000004">
      <c r="A217" s="1" t="e">
        <f>IF(#REF!="","",#REF!)</f>
        <v>#REF!</v>
      </c>
      <c r="C217" s="70" t="s">
        <v>356</v>
      </c>
      <c r="D217" s="58"/>
      <c r="E217" s="59"/>
      <c r="F217" s="59"/>
      <c r="G217" s="59"/>
      <c r="H217" s="60"/>
      <c r="I217" s="32"/>
      <c r="J217" s="60"/>
      <c r="K217" s="61"/>
      <c r="L217" s="32"/>
      <c r="M217" s="65"/>
      <c r="N217" s="63"/>
      <c r="O217" s="64"/>
      <c r="P217" s="71"/>
      <c r="Q217" s="72"/>
      <c r="S217" s="1" t="str">
        <f t="shared" si="3"/>
        <v>B</v>
      </c>
    </row>
    <row r="218" spans="1:19" x14ac:dyDescent="0.55000000000000004">
      <c r="A218" s="1" t="e">
        <f>IF(#REF!="","",#REF!)</f>
        <v>#REF!</v>
      </c>
      <c r="C218" s="70" t="s">
        <v>357</v>
      </c>
      <c r="D218" s="58"/>
      <c r="E218" s="59"/>
      <c r="F218" s="59"/>
      <c r="G218" s="59"/>
      <c r="H218" s="60"/>
      <c r="I218" s="32"/>
      <c r="J218" s="60"/>
      <c r="K218" s="61"/>
      <c r="L218" s="32"/>
      <c r="M218" s="65"/>
      <c r="N218" s="63"/>
      <c r="O218" s="64"/>
      <c r="P218" s="71"/>
      <c r="Q218" s="72"/>
      <c r="S218" s="1" t="str">
        <f t="shared" si="3"/>
        <v>B</v>
      </c>
    </row>
    <row r="219" spans="1:19" x14ac:dyDescent="0.55000000000000004">
      <c r="A219" s="1" t="e">
        <f>IF(#REF!="","",#REF!)</f>
        <v>#REF!</v>
      </c>
      <c r="C219" s="70" t="s">
        <v>358</v>
      </c>
      <c r="D219" s="58"/>
      <c r="E219" s="59"/>
      <c r="F219" s="59"/>
      <c r="G219" s="59"/>
      <c r="H219" s="60"/>
      <c r="I219" s="32"/>
      <c r="J219" s="60"/>
      <c r="K219" s="61"/>
      <c r="L219" s="32"/>
      <c r="M219" s="65"/>
      <c r="N219" s="63"/>
      <c r="O219" s="64"/>
      <c r="P219" s="71"/>
      <c r="Q219" s="72"/>
      <c r="S219" s="1" t="str">
        <f t="shared" si="3"/>
        <v>B</v>
      </c>
    </row>
    <row r="220" spans="1:19" x14ac:dyDescent="0.55000000000000004">
      <c r="A220" s="1" t="e">
        <f>IF(#REF!="","",#REF!)</f>
        <v>#REF!</v>
      </c>
      <c r="C220" s="70" t="s">
        <v>359</v>
      </c>
      <c r="D220" s="58"/>
      <c r="E220" s="59"/>
      <c r="F220" s="59"/>
      <c r="G220" s="59"/>
      <c r="H220" s="60"/>
      <c r="I220" s="32"/>
      <c r="J220" s="60"/>
      <c r="K220" s="61"/>
      <c r="L220" s="32"/>
      <c r="M220" s="65"/>
      <c r="N220" s="63"/>
      <c r="O220" s="64"/>
      <c r="P220" s="71"/>
      <c r="Q220" s="72"/>
      <c r="S220" s="1" t="str">
        <f t="shared" si="3"/>
        <v>B</v>
      </c>
    </row>
    <row r="221" spans="1:19" x14ac:dyDescent="0.55000000000000004">
      <c r="A221" s="1" t="e">
        <f>IF(#REF!="","",#REF!)</f>
        <v>#REF!</v>
      </c>
      <c r="C221" s="70" t="s">
        <v>360</v>
      </c>
      <c r="D221" s="58"/>
      <c r="E221" s="59"/>
      <c r="F221" s="59"/>
      <c r="G221" s="59"/>
      <c r="H221" s="60"/>
      <c r="I221" s="32"/>
      <c r="J221" s="60"/>
      <c r="K221" s="61"/>
      <c r="L221" s="32"/>
      <c r="M221" s="65"/>
      <c r="N221" s="63"/>
      <c r="O221" s="64"/>
      <c r="P221" s="71"/>
      <c r="Q221" s="72"/>
      <c r="S221" s="1" t="str">
        <f t="shared" si="3"/>
        <v>B</v>
      </c>
    </row>
    <row r="222" spans="1:19" x14ac:dyDescent="0.55000000000000004">
      <c r="A222" s="1" t="e">
        <f>IF(#REF!="","",#REF!)</f>
        <v>#REF!</v>
      </c>
      <c r="C222" s="70" t="s">
        <v>361</v>
      </c>
      <c r="D222" s="58"/>
      <c r="E222" s="59"/>
      <c r="F222" s="59"/>
      <c r="G222" s="59"/>
      <c r="H222" s="60"/>
      <c r="I222" s="32"/>
      <c r="J222" s="60"/>
      <c r="K222" s="61"/>
      <c r="L222" s="32"/>
      <c r="M222" s="65"/>
      <c r="N222" s="63"/>
      <c r="O222" s="64"/>
      <c r="P222" s="71"/>
      <c r="Q222" s="72"/>
      <c r="S222" s="1" t="str">
        <f t="shared" si="3"/>
        <v>B</v>
      </c>
    </row>
    <row r="223" spans="1:19" x14ac:dyDescent="0.55000000000000004">
      <c r="A223" s="1" t="e">
        <f>IF(#REF!="","",#REF!)</f>
        <v>#REF!</v>
      </c>
      <c r="C223" s="70" t="s">
        <v>362</v>
      </c>
      <c r="D223" s="58"/>
      <c r="E223" s="59"/>
      <c r="F223" s="59"/>
      <c r="G223" s="59"/>
      <c r="H223" s="60"/>
      <c r="I223" s="32"/>
      <c r="J223" s="60"/>
      <c r="K223" s="61"/>
      <c r="L223" s="32"/>
      <c r="M223" s="65"/>
      <c r="N223" s="63"/>
      <c r="O223" s="64"/>
      <c r="P223" s="71"/>
      <c r="Q223" s="72"/>
      <c r="S223" s="1" t="str">
        <f t="shared" si="3"/>
        <v>B</v>
      </c>
    </row>
    <row r="224" spans="1:19" x14ac:dyDescent="0.55000000000000004">
      <c r="A224" s="1" t="e">
        <f>IF(#REF!="","",#REF!)</f>
        <v>#REF!</v>
      </c>
      <c r="C224" s="70" t="s">
        <v>363</v>
      </c>
      <c r="D224" s="58"/>
      <c r="E224" s="59"/>
      <c r="F224" s="59"/>
      <c r="G224" s="59"/>
      <c r="H224" s="60"/>
      <c r="I224" s="32"/>
      <c r="J224" s="60"/>
      <c r="K224" s="61"/>
      <c r="L224" s="32"/>
      <c r="M224" s="65"/>
      <c r="N224" s="63"/>
      <c r="O224" s="64"/>
      <c r="P224" s="71"/>
      <c r="Q224" s="72"/>
      <c r="S224" s="1" t="str">
        <f t="shared" si="3"/>
        <v>B</v>
      </c>
    </row>
    <row r="225" spans="1:19" x14ac:dyDescent="0.55000000000000004">
      <c r="A225" s="1" t="e">
        <f>IF(#REF!="","",#REF!)</f>
        <v>#REF!</v>
      </c>
      <c r="C225" s="70" t="s">
        <v>364</v>
      </c>
      <c r="D225" s="58"/>
      <c r="E225" s="59"/>
      <c r="F225" s="59"/>
      <c r="G225" s="59"/>
      <c r="H225" s="60"/>
      <c r="I225" s="32"/>
      <c r="J225" s="60"/>
      <c r="K225" s="61"/>
      <c r="L225" s="32"/>
      <c r="M225" s="65"/>
      <c r="N225" s="63"/>
      <c r="O225" s="64"/>
      <c r="P225" s="71"/>
      <c r="Q225" s="72"/>
      <c r="S225" s="1" t="str">
        <f t="shared" si="3"/>
        <v>B</v>
      </c>
    </row>
    <row r="226" spans="1:19" x14ac:dyDescent="0.55000000000000004">
      <c r="A226" s="1" t="e">
        <f>IF(#REF!="","",#REF!)</f>
        <v>#REF!</v>
      </c>
      <c r="C226" s="70" t="s">
        <v>365</v>
      </c>
      <c r="D226" s="58"/>
      <c r="E226" s="59"/>
      <c r="F226" s="59"/>
      <c r="G226" s="59"/>
      <c r="H226" s="60"/>
      <c r="I226" s="32"/>
      <c r="J226" s="60"/>
      <c r="K226" s="61"/>
      <c r="L226" s="32"/>
      <c r="M226" s="65"/>
      <c r="N226" s="63"/>
      <c r="O226" s="64"/>
      <c r="P226" s="71"/>
      <c r="Q226" s="72"/>
      <c r="S226" s="1" t="str">
        <f t="shared" si="3"/>
        <v>B</v>
      </c>
    </row>
    <row r="227" spans="1:19" x14ac:dyDescent="0.55000000000000004">
      <c r="A227" s="1" t="e">
        <f>IF(#REF!="","",#REF!)</f>
        <v>#REF!</v>
      </c>
      <c r="C227" s="70" t="s">
        <v>366</v>
      </c>
      <c r="D227" s="58"/>
      <c r="E227" s="59"/>
      <c r="F227" s="59"/>
      <c r="G227" s="59"/>
      <c r="H227" s="60"/>
      <c r="I227" s="32"/>
      <c r="J227" s="60"/>
      <c r="K227" s="61"/>
      <c r="L227" s="32"/>
      <c r="M227" s="65"/>
      <c r="N227" s="63"/>
      <c r="O227" s="64"/>
      <c r="P227" s="71"/>
      <c r="Q227" s="72"/>
      <c r="S227" s="1" t="str">
        <f t="shared" si="3"/>
        <v>B</v>
      </c>
    </row>
    <row r="228" spans="1:19" x14ac:dyDescent="0.55000000000000004">
      <c r="A228" s="1" t="e">
        <f>IF(#REF!="","",#REF!)</f>
        <v>#REF!</v>
      </c>
      <c r="C228" s="70" t="s">
        <v>367</v>
      </c>
      <c r="D228" s="58"/>
      <c r="E228" s="59"/>
      <c r="F228" s="59"/>
      <c r="G228" s="59"/>
      <c r="H228" s="60"/>
      <c r="I228" s="32"/>
      <c r="J228" s="60"/>
      <c r="K228" s="61"/>
      <c r="L228" s="32"/>
      <c r="M228" s="65"/>
      <c r="N228" s="63"/>
      <c r="O228" s="64"/>
      <c r="P228" s="71"/>
      <c r="Q228" s="72"/>
      <c r="S228" s="1" t="str">
        <f t="shared" si="3"/>
        <v>B</v>
      </c>
    </row>
    <row r="229" spans="1:19" x14ac:dyDescent="0.55000000000000004">
      <c r="A229" s="1" t="e">
        <f>IF(#REF!="","",#REF!)</f>
        <v>#REF!</v>
      </c>
      <c r="C229" s="70" t="s">
        <v>368</v>
      </c>
      <c r="D229" s="58"/>
      <c r="E229" s="59"/>
      <c r="F229" s="59"/>
      <c r="G229" s="59"/>
      <c r="H229" s="60"/>
      <c r="I229" s="32"/>
      <c r="J229" s="60"/>
      <c r="K229" s="61"/>
      <c r="L229" s="32"/>
      <c r="M229" s="65"/>
      <c r="N229" s="63"/>
      <c r="O229" s="64"/>
      <c r="P229" s="71"/>
      <c r="Q229" s="72"/>
      <c r="S229" s="1" t="str">
        <f t="shared" si="3"/>
        <v>B</v>
      </c>
    </row>
    <row r="230" spans="1:19" x14ac:dyDescent="0.55000000000000004">
      <c r="A230" s="1" t="e">
        <f>IF(#REF!="","",#REF!)</f>
        <v>#REF!</v>
      </c>
      <c r="C230" s="70" t="s">
        <v>369</v>
      </c>
      <c r="D230" s="58"/>
      <c r="E230" s="59"/>
      <c r="F230" s="59"/>
      <c r="G230" s="59"/>
      <c r="H230" s="60"/>
      <c r="I230" s="32"/>
      <c r="J230" s="60"/>
      <c r="K230" s="61"/>
      <c r="L230" s="32"/>
      <c r="M230" s="65"/>
      <c r="N230" s="63"/>
      <c r="O230" s="64"/>
      <c r="P230" s="71"/>
      <c r="Q230" s="72"/>
      <c r="S230" s="1" t="str">
        <f t="shared" si="3"/>
        <v>B</v>
      </c>
    </row>
    <row r="231" spans="1:19" x14ac:dyDescent="0.55000000000000004">
      <c r="A231" s="1" t="e">
        <f>IF(#REF!="","",#REF!)</f>
        <v>#REF!</v>
      </c>
      <c r="C231" s="70" t="s">
        <v>370</v>
      </c>
      <c r="D231" s="58"/>
      <c r="E231" s="59"/>
      <c r="F231" s="59"/>
      <c r="G231" s="59"/>
      <c r="H231" s="60"/>
      <c r="I231" s="32"/>
      <c r="J231" s="60"/>
      <c r="K231" s="61"/>
      <c r="L231" s="32"/>
      <c r="M231" s="65"/>
      <c r="N231" s="63"/>
      <c r="O231" s="64"/>
      <c r="P231" s="71"/>
      <c r="Q231" s="72"/>
      <c r="S231" s="1" t="str">
        <f t="shared" si="3"/>
        <v>B</v>
      </c>
    </row>
    <row r="232" spans="1:19" x14ac:dyDescent="0.55000000000000004">
      <c r="A232" s="1" t="e">
        <f>IF(#REF!="","",#REF!)</f>
        <v>#REF!</v>
      </c>
      <c r="C232" s="70" t="s">
        <v>371</v>
      </c>
      <c r="D232" s="58"/>
      <c r="E232" s="59"/>
      <c r="F232" s="59"/>
      <c r="G232" s="59"/>
      <c r="H232" s="60"/>
      <c r="I232" s="32"/>
      <c r="J232" s="60"/>
      <c r="K232" s="61"/>
      <c r="L232" s="32"/>
      <c r="M232" s="65"/>
      <c r="N232" s="63"/>
      <c r="O232" s="64"/>
      <c r="P232" s="71"/>
      <c r="Q232" s="72"/>
      <c r="S232" s="1" t="str">
        <f t="shared" si="3"/>
        <v>B</v>
      </c>
    </row>
    <row r="233" spans="1:19" x14ac:dyDescent="0.55000000000000004">
      <c r="A233" s="1" t="e">
        <f>IF(#REF!="","",#REF!)</f>
        <v>#REF!</v>
      </c>
      <c r="C233" s="70" t="s">
        <v>372</v>
      </c>
      <c r="D233" s="58"/>
      <c r="E233" s="59"/>
      <c r="F233" s="59"/>
      <c r="G233" s="59"/>
      <c r="H233" s="60"/>
      <c r="I233" s="32"/>
      <c r="J233" s="60"/>
      <c r="K233" s="61"/>
      <c r="L233" s="32"/>
      <c r="M233" s="65"/>
      <c r="N233" s="63"/>
      <c r="O233" s="64"/>
      <c r="P233" s="71"/>
      <c r="Q233" s="72"/>
      <c r="S233" s="1" t="str">
        <f t="shared" si="3"/>
        <v>B</v>
      </c>
    </row>
    <row r="234" spans="1:19" x14ac:dyDescent="0.55000000000000004">
      <c r="A234" s="1" t="e">
        <f>IF(#REF!="","",#REF!)</f>
        <v>#REF!</v>
      </c>
      <c r="C234" s="70" t="s">
        <v>373</v>
      </c>
      <c r="D234" s="58"/>
      <c r="E234" s="59"/>
      <c r="F234" s="59"/>
      <c r="G234" s="59"/>
      <c r="H234" s="60"/>
      <c r="I234" s="32"/>
      <c r="J234" s="60"/>
      <c r="K234" s="61"/>
      <c r="L234" s="32"/>
      <c r="M234" s="65"/>
      <c r="N234" s="63"/>
      <c r="O234" s="64"/>
      <c r="P234" s="71"/>
      <c r="Q234" s="72"/>
      <c r="S234" s="1" t="str">
        <f t="shared" ref="S234:S297" si="4">IF(E234="キャンセル","",IF(G234="故障","A",IF(G234="紛失・盗難","A",IF(G234="キッティング","A","B"))))</f>
        <v>B</v>
      </c>
    </row>
    <row r="235" spans="1:19" x14ac:dyDescent="0.55000000000000004">
      <c r="A235" s="1" t="e">
        <f>IF(#REF!="","",#REF!)</f>
        <v>#REF!</v>
      </c>
      <c r="C235" s="70" t="s">
        <v>374</v>
      </c>
      <c r="D235" s="58"/>
      <c r="E235" s="59"/>
      <c r="F235" s="59"/>
      <c r="G235" s="59"/>
      <c r="H235" s="60"/>
      <c r="I235" s="32"/>
      <c r="J235" s="60"/>
      <c r="K235" s="61"/>
      <c r="L235" s="32"/>
      <c r="M235" s="65"/>
      <c r="N235" s="63"/>
      <c r="O235" s="64"/>
      <c r="P235" s="71"/>
      <c r="Q235" s="72"/>
      <c r="S235" s="1" t="str">
        <f t="shared" si="4"/>
        <v>B</v>
      </c>
    </row>
    <row r="236" spans="1:19" x14ac:dyDescent="0.55000000000000004">
      <c r="A236" s="1" t="e">
        <f>IF(#REF!="","",#REF!)</f>
        <v>#REF!</v>
      </c>
      <c r="C236" s="70" t="s">
        <v>375</v>
      </c>
      <c r="D236" s="58"/>
      <c r="E236" s="59"/>
      <c r="F236" s="59"/>
      <c r="G236" s="59"/>
      <c r="H236" s="60"/>
      <c r="I236" s="32"/>
      <c r="J236" s="60"/>
      <c r="K236" s="61"/>
      <c r="L236" s="32"/>
      <c r="M236" s="65"/>
      <c r="N236" s="63"/>
      <c r="O236" s="64"/>
      <c r="P236" s="71"/>
      <c r="Q236" s="72"/>
      <c r="S236" s="1" t="str">
        <f t="shared" si="4"/>
        <v>B</v>
      </c>
    </row>
    <row r="237" spans="1:19" x14ac:dyDescent="0.55000000000000004">
      <c r="A237" s="1" t="e">
        <f>IF(#REF!="","",#REF!)</f>
        <v>#REF!</v>
      </c>
      <c r="C237" s="70" t="s">
        <v>376</v>
      </c>
      <c r="D237" s="58"/>
      <c r="E237" s="59"/>
      <c r="F237" s="59"/>
      <c r="G237" s="59"/>
      <c r="H237" s="60"/>
      <c r="I237" s="32"/>
      <c r="J237" s="60"/>
      <c r="K237" s="61"/>
      <c r="L237" s="32"/>
      <c r="M237" s="65"/>
      <c r="N237" s="63"/>
      <c r="O237" s="64"/>
      <c r="P237" s="71"/>
      <c r="Q237" s="72"/>
      <c r="S237" s="1" t="str">
        <f t="shared" si="4"/>
        <v>B</v>
      </c>
    </row>
    <row r="238" spans="1:19" x14ac:dyDescent="0.55000000000000004">
      <c r="A238" s="1" t="e">
        <f>IF(#REF!="","",#REF!)</f>
        <v>#REF!</v>
      </c>
      <c r="C238" s="70" t="s">
        <v>377</v>
      </c>
      <c r="D238" s="58"/>
      <c r="E238" s="59"/>
      <c r="F238" s="59"/>
      <c r="G238" s="59"/>
      <c r="H238" s="60"/>
      <c r="I238" s="32"/>
      <c r="J238" s="60"/>
      <c r="K238" s="61"/>
      <c r="L238" s="32"/>
      <c r="M238" s="65"/>
      <c r="N238" s="63"/>
      <c r="O238" s="64"/>
      <c r="P238" s="71"/>
      <c r="Q238" s="72"/>
      <c r="S238" s="1" t="str">
        <f t="shared" si="4"/>
        <v>B</v>
      </c>
    </row>
    <row r="239" spans="1:19" x14ac:dyDescent="0.55000000000000004">
      <c r="A239" s="1" t="e">
        <f>IF(#REF!="","",#REF!)</f>
        <v>#REF!</v>
      </c>
      <c r="C239" s="70" t="s">
        <v>378</v>
      </c>
      <c r="D239" s="58"/>
      <c r="E239" s="59"/>
      <c r="F239" s="59"/>
      <c r="G239" s="59"/>
      <c r="H239" s="60"/>
      <c r="I239" s="32"/>
      <c r="J239" s="60"/>
      <c r="K239" s="61"/>
      <c r="L239" s="32"/>
      <c r="M239" s="65"/>
      <c r="N239" s="63"/>
      <c r="O239" s="64"/>
      <c r="P239" s="71"/>
      <c r="Q239" s="72"/>
      <c r="S239" s="1" t="str">
        <f t="shared" si="4"/>
        <v>B</v>
      </c>
    </row>
    <row r="240" spans="1:19" x14ac:dyDescent="0.55000000000000004">
      <c r="A240" s="1" t="e">
        <f>IF(#REF!="","",#REF!)</f>
        <v>#REF!</v>
      </c>
      <c r="C240" s="70" t="s">
        <v>379</v>
      </c>
      <c r="D240" s="58"/>
      <c r="E240" s="59"/>
      <c r="F240" s="59"/>
      <c r="G240" s="59"/>
      <c r="H240" s="60"/>
      <c r="I240" s="32"/>
      <c r="J240" s="60"/>
      <c r="K240" s="61"/>
      <c r="L240" s="32"/>
      <c r="M240" s="65"/>
      <c r="N240" s="63"/>
      <c r="O240" s="64"/>
      <c r="P240" s="71"/>
      <c r="Q240" s="72"/>
      <c r="S240" s="1" t="str">
        <f t="shared" si="4"/>
        <v>B</v>
      </c>
    </row>
    <row r="241" spans="1:19" x14ac:dyDescent="0.55000000000000004">
      <c r="A241" s="1" t="e">
        <f>IF(#REF!="","",#REF!)</f>
        <v>#REF!</v>
      </c>
      <c r="C241" s="70" t="s">
        <v>380</v>
      </c>
      <c r="D241" s="58"/>
      <c r="E241" s="59"/>
      <c r="F241" s="59"/>
      <c r="G241" s="59"/>
      <c r="H241" s="60"/>
      <c r="I241" s="32"/>
      <c r="J241" s="60"/>
      <c r="K241" s="61"/>
      <c r="L241" s="32"/>
      <c r="M241" s="65"/>
      <c r="N241" s="63"/>
      <c r="O241" s="64"/>
      <c r="P241" s="71"/>
      <c r="Q241" s="72"/>
      <c r="S241" s="1" t="str">
        <f t="shared" si="4"/>
        <v>B</v>
      </c>
    </row>
    <row r="242" spans="1:19" x14ac:dyDescent="0.55000000000000004">
      <c r="A242" s="1" t="e">
        <f>IF(#REF!="","",#REF!)</f>
        <v>#REF!</v>
      </c>
      <c r="C242" s="70" t="s">
        <v>381</v>
      </c>
      <c r="D242" s="58"/>
      <c r="E242" s="59"/>
      <c r="F242" s="59"/>
      <c r="G242" s="59"/>
      <c r="H242" s="60"/>
      <c r="I242" s="32"/>
      <c r="J242" s="60"/>
      <c r="K242" s="61"/>
      <c r="L242" s="32"/>
      <c r="M242" s="65"/>
      <c r="N242" s="63"/>
      <c r="O242" s="64"/>
      <c r="P242" s="71"/>
      <c r="Q242" s="72"/>
      <c r="S242" s="1" t="str">
        <f t="shared" si="4"/>
        <v>B</v>
      </c>
    </row>
    <row r="243" spans="1:19" x14ac:dyDescent="0.55000000000000004">
      <c r="A243" s="1" t="e">
        <f>IF(#REF!="","",#REF!)</f>
        <v>#REF!</v>
      </c>
      <c r="C243" s="70" t="s">
        <v>382</v>
      </c>
      <c r="D243" s="58"/>
      <c r="E243" s="59"/>
      <c r="F243" s="59"/>
      <c r="G243" s="59"/>
      <c r="H243" s="60"/>
      <c r="I243" s="32"/>
      <c r="J243" s="60"/>
      <c r="K243" s="61"/>
      <c r="L243" s="32"/>
      <c r="M243" s="65"/>
      <c r="N243" s="63"/>
      <c r="O243" s="64"/>
      <c r="P243" s="71"/>
      <c r="Q243" s="72"/>
      <c r="S243" s="1" t="str">
        <f t="shared" si="4"/>
        <v>B</v>
      </c>
    </row>
    <row r="244" spans="1:19" x14ac:dyDescent="0.55000000000000004">
      <c r="A244" s="1" t="e">
        <f>IF(#REF!="","",#REF!)</f>
        <v>#REF!</v>
      </c>
      <c r="C244" s="70" t="s">
        <v>383</v>
      </c>
      <c r="D244" s="58"/>
      <c r="E244" s="59"/>
      <c r="F244" s="59"/>
      <c r="G244" s="59"/>
      <c r="H244" s="60"/>
      <c r="I244" s="32"/>
      <c r="J244" s="60"/>
      <c r="K244" s="61"/>
      <c r="L244" s="32"/>
      <c r="M244" s="65"/>
      <c r="N244" s="63"/>
      <c r="O244" s="64"/>
      <c r="P244" s="71"/>
      <c r="Q244" s="72"/>
      <c r="S244" s="1" t="str">
        <f t="shared" si="4"/>
        <v>B</v>
      </c>
    </row>
    <row r="245" spans="1:19" x14ac:dyDescent="0.55000000000000004">
      <c r="A245" s="1" t="e">
        <f>IF(#REF!="","",#REF!)</f>
        <v>#REF!</v>
      </c>
      <c r="C245" s="70" t="s">
        <v>384</v>
      </c>
      <c r="D245" s="58"/>
      <c r="E245" s="59"/>
      <c r="F245" s="59"/>
      <c r="G245" s="59"/>
      <c r="H245" s="60"/>
      <c r="I245" s="32"/>
      <c r="J245" s="60"/>
      <c r="K245" s="61"/>
      <c r="L245" s="32"/>
      <c r="M245" s="65"/>
      <c r="N245" s="63"/>
      <c r="O245" s="64"/>
      <c r="P245" s="71"/>
      <c r="Q245" s="72"/>
      <c r="S245" s="1" t="str">
        <f t="shared" si="4"/>
        <v>B</v>
      </c>
    </row>
    <row r="246" spans="1:19" x14ac:dyDescent="0.55000000000000004">
      <c r="A246" s="1" t="e">
        <f>IF(#REF!="","",#REF!)</f>
        <v>#REF!</v>
      </c>
      <c r="C246" s="70" t="s">
        <v>385</v>
      </c>
      <c r="D246" s="58"/>
      <c r="E246" s="59"/>
      <c r="F246" s="59"/>
      <c r="G246" s="59"/>
      <c r="H246" s="60"/>
      <c r="I246" s="32"/>
      <c r="J246" s="60"/>
      <c r="K246" s="61"/>
      <c r="L246" s="32"/>
      <c r="M246" s="65"/>
      <c r="N246" s="63"/>
      <c r="O246" s="64"/>
      <c r="P246" s="71"/>
      <c r="Q246" s="72"/>
      <c r="S246" s="1" t="str">
        <f t="shared" si="4"/>
        <v>B</v>
      </c>
    </row>
    <row r="247" spans="1:19" x14ac:dyDescent="0.55000000000000004">
      <c r="A247" s="1" t="e">
        <f>IF(#REF!="","",#REF!)</f>
        <v>#REF!</v>
      </c>
      <c r="C247" s="70" t="s">
        <v>386</v>
      </c>
      <c r="D247" s="58"/>
      <c r="E247" s="59"/>
      <c r="F247" s="59"/>
      <c r="G247" s="59"/>
      <c r="H247" s="60"/>
      <c r="I247" s="32"/>
      <c r="J247" s="60"/>
      <c r="K247" s="61"/>
      <c r="L247" s="32"/>
      <c r="M247" s="65"/>
      <c r="N247" s="63"/>
      <c r="O247" s="64"/>
      <c r="P247" s="71"/>
      <c r="Q247" s="72"/>
      <c r="S247" s="1" t="str">
        <f t="shared" si="4"/>
        <v>B</v>
      </c>
    </row>
    <row r="248" spans="1:19" x14ac:dyDescent="0.55000000000000004">
      <c r="A248" s="1" t="e">
        <f>IF(#REF!="","",#REF!)</f>
        <v>#REF!</v>
      </c>
      <c r="C248" s="70" t="s">
        <v>387</v>
      </c>
      <c r="D248" s="58"/>
      <c r="E248" s="59"/>
      <c r="F248" s="59"/>
      <c r="G248" s="59"/>
      <c r="H248" s="60"/>
      <c r="I248" s="32"/>
      <c r="J248" s="60"/>
      <c r="K248" s="61"/>
      <c r="L248" s="32"/>
      <c r="M248" s="65"/>
      <c r="N248" s="63"/>
      <c r="O248" s="64"/>
      <c r="P248" s="71"/>
      <c r="Q248" s="72"/>
      <c r="S248" s="1" t="str">
        <f t="shared" si="4"/>
        <v>B</v>
      </c>
    </row>
    <row r="249" spans="1:19" x14ac:dyDescent="0.55000000000000004">
      <c r="A249" s="1" t="e">
        <f>IF(#REF!="","",#REF!)</f>
        <v>#REF!</v>
      </c>
      <c r="C249" s="70" t="s">
        <v>388</v>
      </c>
      <c r="D249" s="58"/>
      <c r="E249" s="59"/>
      <c r="F249" s="59"/>
      <c r="G249" s="59"/>
      <c r="H249" s="60"/>
      <c r="I249" s="32"/>
      <c r="J249" s="60"/>
      <c r="K249" s="61"/>
      <c r="L249" s="32"/>
      <c r="M249" s="65"/>
      <c r="N249" s="63"/>
      <c r="O249" s="64"/>
      <c r="P249" s="71"/>
      <c r="Q249" s="72"/>
      <c r="S249" s="1" t="str">
        <f t="shared" si="4"/>
        <v>B</v>
      </c>
    </row>
    <row r="250" spans="1:19" x14ac:dyDescent="0.55000000000000004">
      <c r="A250" s="1" t="e">
        <f>IF(#REF!="","",#REF!)</f>
        <v>#REF!</v>
      </c>
      <c r="C250" s="70" t="s">
        <v>389</v>
      </c>
      <c r="D250" s="58"/>
      <c r="E250" s="59"/>
      <c r="F250" s="59"/>
      <c r="G250" s="59"/>
      <c r="H250" s="60"/>
      <c r="I250" s="32"/>
      <c r="J250" s="60"/>
      <c r="K250" s="61"/>
      <c r="L250" s="32"/>
      <c r="M250" s="65"/>
      <c r="N250" s="63"/>
      <c r="O250" s="64"/>
      <c r="P250" s="71"/>
      <c r="Q250" s="72"/>
      <c r="S250" s="1" t="str">
        <f t="shared" si="4"/>
        <v>B</v>
      </c>
    </row>
    <row r="251" spans="1:19" x14ac:dyDescent="0.55000000000000004">
      <c r="A251" s="1" t="e">
        <f>IF(#REF!="","",#REF!)</f>
        <v>#REF!</v>
      </c>
      <c r="C251" s="70" t="s">
        <v>390</v>
      </c>
      <c r="D251" s="58"/>
      <c r="E251" s="59"/>
      <c r="F251" s="59"/>
      <c r="G251" s="59"/>
      <c r="H251" s="60"/>
      <c r="I251" s="32"/>
      <c r="J251" s="60"/>
      <c r="K251" s="61"/>
      <c r="L251" s="32"/>
      <c r="M251" s="65"/>
      <c r="N251" s="63"/>
      <c r="O251" s="64"/>
      <c r="P251" s="71"/>
      <c r="Q251" s="72"/>
      <c r="S251" s="1" t="str">
        <f t="shared" si="4"/>
        <v>B</v>
      </c>
    </row>
    <row r="252" spans="1:19" x14ac:dyDescent="0.55000000000000004">
      <c r="A252" s="1" t="e">
        <f>IF(#REF!="","",#REF!)</f>
        <v>#REF!</v>
      </c>
      <c r="C252" s="70" t="s">
        <v>391</v>
      </c>
      <c r="D252" s="58"/>
      <c r="E252" s="59"/>
      <c r="F252" s="59"/>
      <c r="G252" s="59"/>
      <c r="H252" s="60"/>
      <c r="I252" s="32"/>
      <c r="J252" s="60"/>
      <c r="K252" s="61"/>
      <c r="L252" s="32"/>
      <c r="M252" s="65"/>
      <c r="N252" s="63"/>
      <c r="O252" s="64"/>
      <c r="P252" s="71"/>
      <c r="Q252" s="72"/>
      <c r="S252" s="1" t="str">
        <f t="shared" si="4"/>
        <v>B</v>
      </c>
    </row>
    <row r="253" spans="1:19" x14ac:dyDescent="0.55000000000000004">
      <c r="A253" s="1" t="e">
        <f>IF(#REF!="","",#REF!)</f>
        <v>#REF!</v>
      </c>
      <c r="C253" s="70" t="s">
        <v>392</v>
      </c>
      <c r="D253" s="58"/>
      <c r="E253" s="59"/>
      <c r="F253" s="59"/>
      <c r="G253" s="59"/>
      <c r="H253" s="60"/>
      <c r="I253" s="32"/>
      <c r="J253" s="60"/>
      <c r="K253" s="61"/>
      <c r="L253" s="32"/>
      <c r="M253" s="65"/>
      <c r="N253" s="63"/>
      <c r="O253" s="64"/>
      <c r="P253" s="71"/>
      <c r="Q253" s="72"/>
      <c r="S253" s="1" t="str">
        <f t="shared" si="4"/>
        <v>B</v>
      </c>
    </row>
    <row r="254" spans="1:19" x14ac:dyDescent="0.55000000000000004">
      <c r="A254" s="1" t="e">
        <f>IF(#REF!="","",#REF!)</f>
        <v>#REF!</v>
      </c>
      <c r="C254" s="70" t="s">
        <v>393</v>
      </c>
      <c r="D254" s="58"/>
      <c r="E254" s="59"/>
      <c r="F254" s="59"/>
      <c r="G254" s="59"/>
      <c r="H254" s="60"/>
      <c r="I254" s="32"/>
      <c r="J254" s="60"/>
      <c r="K254" s="61"/>
      <c r="L254" s="32"/>
      <c r="M254" s="65"/>
      <c r="N254" s="63"/>
      <c r="O254" s="64"/>
      <c r="P254" s="71"/>
      <c r="Q254" s="72"/>
      <c r="S254" s="1" t="str">
        <f t="shared" si="4"/>
        <v>B</v>
      </c>
    </row>
    <row r="255" spans="1:19" x14ac:dyDescent="0.55000000000000004">
      <c r="A255" s="1" t="e">
        <f>IF(#REF!="","",#REF!)</f>
        <v>#REF!</v>
      </c>
      <c r="C255" s="70" t="s">
        <v>394</v>
      </c>
      <c r="D255" s="58"/>
      <c r="E255" s="59"/>
      <c r="F255" s="59"/>
      <c r="G255" s="59"/>
      <c r="H255" s="60"/>
      <c r="I255" s="32"/>
      <c r="J255" s="60"/>
      <c r="K255" s="61"/>
      <c r="L255" s="32"/>
      <c r="M255" s="65"/>
      <c r="N255" s="63"/>
      <c r="O255" s="64"/>
      <c r="P255" s="71"/>
      <c r="Q255" s="72"/>
      <c r="S255" s="1" t="str">
        <f t="shared" si="4"/>
        <v>B</v>
      </c>
    </row>
    <row r="256" spans="1:19" x14ac:dyDescent="0.55000000000000004">
      <c r="A256" s="1" t="e">
        <f>IF(#REF!="","",#REF!)</f>
        <v>#REF!</v>
      </c>
      <c r="C256" s="70" t="s">
        <v>395</v>
      </c>
      <c r="D256" s="58"/>
      <c r="E256" s="59"/>
      <c r="F256" s="59"/>
      <c r="G256" s="59"/>
      <c r="H256" s="60"/>
      <c r="I256" s="32"/>
      <c r="J256" s="60"/>
      <c r="K256" s="61"/>
      <c r="L256" s="32"/>
      <c r="M256" s="65"/>
      <c r="N256" s="63"/>
      <c r="O256" s="64"/>
      <c r="P256" s="71"/>
      <c r="Q256" s="72"/>
      <c r="S256" s="1" t="str">
        <f t="shared" si="4"/>
        <v>B</v>
      </c>
    </row>
    <row r="257" spans="1:19" x14ac:dyDescent="0.55000000000000004">
      <c r="A257" s="1" t="e">
        <f>IF(#REF!="","",#REF!)</f>
        <v>#REF!</v>
      </c>
      <c r="C257" s="70" t="s">
        <v>396</v>
      </c>
      <c r="D257" s="58"/>
      <c r="E257" s="59"/>
      <c r="F257" s="59"/>
      <c r="G257" s="59"/>
      <c r="H257" s="60"/>
      <c r="I257" s="32"/>
      <c r="J257" s="60"/>
      <c r="K257" s="61"/>
      <c r="L257" s="32"/>
      <c r="M257" s="65"/>
      <c r="N257" s="63"/>
      <c r="O257" s="64"/>
      <c r="P257" s="71"/>
      <c r="Q257" s="72"/>
      <c r="S257" s="1" t="str">
        <f t="shared" si="4"/>
        <v>B</v>
      </c>
    </row>
    <row r="258" spans="1:19" x14ac:dyDescent="0.55000000000000004">
      <c r="A258" s="1" t="e">
        <f>IF(#REF!="","",#REF!)</f>
        <v>#REF!</v>
      </c>
      <c r="C258" s="70" t="s">
        <v>397</v>
      </c>
      <c r="D258" s="58"/>
      <c r="E258" s="59"/>
      <c r="F258" s="59"/>
      <c r="G258" s="59"/>
      <c r="H258" s="60"/>
      <c r="I258" s="32"/>
      <c r="J258" s="60"/>
      <c r="K258" s="61"/>
      <c r="L258" s="32"/>
      <c r="M258" s="65"/>
      <c r="N258" s="63"/>
      <c r="O258" s="64"/>
      <c r="P258" s="71"/>
      <c r="Q258" s="72"/>
      <c r="S258" s="1" t="str">
        <f t="shared" si="4"/>
        <v>B</v>
      </c>
    </row>
    <row r="259" spans="1:19" x14ac:dyDescent="0.55000000000000004">
      <c r="A259" s="1" t="e">
        <f>IF(#REF!="","",#REF!)</f>
        <v>#REF!</v>
      </c>
      <c r="C259" s="70" t="s">
        <v>398</v>
      </c>
      <c r="D259" s="58"/>
      <c r="E259" s="59"/>
      <c r="F259" s="59"/>
      <c r="G259" s="59"/>
      <c r="H259" s="60"/>
      <c r="I259" s="32"/>
      <c r="J259" s="60"/>
      <c r="K259" s="61"/>
      <c r="L259" s="32"/>
      <c r="M259" s="65"/>
      <c r="N259" s="63"/>
      <c r="O259" s="64"/>
      <c r="P259" s="71"/>
      <c r="Q259" s="72"/>
      <c r="S259" s="1" t="str">
        <f t="shared" si="4"/>
        <v>B</v>
      </c>
    </row>
    <row r="260" spans="1:19" x14ac:dyDescent="0.55000000000000004">
      <c r="A260" s="1" t="e">
        <f>IF(#REF!="","",#REF!)</f>
        <v>#REF!</v>
      </c>
      <c r="C260" s="70" t="s">
        <v>399</v>
      </c>
      <c r="D260" s="58"/>
      <c r="E260" s="59"/>
      <c r="F260" s="59"/>
      <c r="G260" s="59"/>
      <c r="H260" s="60"/>
      <c r="I260" s="32"/>
      <c r="J260" s="60"/>
      <c r="K260" s="61"/>
      <c r="L260" s="32"/>
      <c r="M260" s="65"/>
      <c r="N260" s="63"/>
      <c r="O260" s="64"/>
      <c r="P260" s="71"/>
      <c r="Q260" s="72"/>
      <c r="S260" s="1" t="str">
        <f t="shared" si="4"/>
        <v>B</v>
      </c>
    </row>
    <row r="261" spans="1:19" x14ac:dyDescent="0.55000000000000004">
      <c r="A261" s="1" t="e">
        <f>IF(#REF!="","",#REF!)</f>
        <v>#REF!</v>
      </c>
      <c r="C261" s="70" t="s">
        <v>400</v>
      </c>
      <c r="D261" s="58"/>
      <c r="E261" s="59"/>
      <c r="F261" s="59"/>
      <c r="G261" s="59"/>
      <c r="H261" s="60"/>
      <c r="I261" s="32"/>
      <c r="J261" s="60"/>
      <c r="K261" s="61"/>
      <c r="L261" s="32"/>
      <c r="M261" s="65"/>
      <c r="N261" s="63"/>
      <c r="O261" s="64"/>
      <c r="P261" s="71"/>
      <c r="Q261" s="72"/>
      <c r="S261" s="1" t="str">
        <f t="shared" si="4"/>
        <v>B</v>
      </c>
    </row>
    <row r="262" spans="1:19" x14ac:dyDescent="0.55000000000000004">
      <c r="A262" s="1" t="e">
        <f>IF(#REF!="","",#REF!)</f>
        <v>#REF!</v>
      </c>
      <c r="C262" s="70" t="s">
        <v>401</v>
      </c>
      <c r="D262" s="58"/>
      <c r="E262" s="59"/>
      <c r="F262" s="59"/>
      <c r="G262" s="59"/>
      <c r="H262" s="60"/>
      <c r="I262" s="32"/>
      <c r="J262" s="60"/>
      <c r="K262" s="61"/>
      <c r="L262" s="32"/>
      <c r="M262" s="65"/>
      <c r="N262" s="63"/>
      <c r="O262" s="64"/>
      <c r="P262" s="71"/>
      <c r="Q262" s="72"/>
      <c r="S262" s="1" t="str">
        <f t="shared" si="4"/>
        <v>B</v>
      </c>
    </row>
    <row r="263" spans="1:19" x14ac:dyDescent="0.55000000000000004">
      <c r="A263" s="1" t="e">
        <f>IF(#REF!="","",#REF!)</f>
        <v>#REF!</v>
      </c>
      <c r="C263" s="70" t="s">
        <v>402</v>
      </c>
      <c r="D263" s="58"/>
      <c r="E263" s="59"/>
      <c r="F263" s="59"/>
      <c r="G263" s="59"/>
      <c r="H263" s="60"/>
      <c r="I263" s="32"/>
      <c r="J263" s="60"/>
      <c r="K263" s="61"/>
      <c r="L263" s="32"/>
      <c r="M263" s="65"/>
      <c r="N263" s="63"/>
      <c r="O263" s="64"/>
      <c r="P263" s="71"/>
      <c r="Q263" s="72"/>
      <c r="S263" s="1" t="str">
        <f t="shared" si="4"/>
        <v>B</v>
      </c>
    </row>
    <row r="264" spans="1:19" x14ac:dyDescent="0.55000000000000004">
      <c r="A264" s="1" t="e">
        <f>IF(#REF!="","",#REF!)</f>
        <v>#REF!</v>
      </c>
      <c r="C264" s="70" t="s">
        <v>403</v>
      </c>
      <c r="D264" s="58"/>
      <c r="E264" s="59"/>
      <c r="F264" s="59"/>
      <c r="G264" s="59"/>
      <c r="H264" s="60"/>
      <c r="I264" s="32"/>
      <c r="J264" s="60"/>
      <c r="K264" s="61"/>
      <c r="L264" s="32"/>
      <c r="M264" s="65"/>
      <c r="N264" s="63"/>
      <c r="O264" s="64"/>
      <c r="P264" s="71"/>
      <c r="Q264" s="72"/>
      <c r="S264" s="1" t="str">
        <f t="shared" si="4"/>
        <v>B</v>
      </c>
    </row>
    <row r="265" spans="1:19" x14ac:dyDescent="0.55000000000000004">
      <c r="A265" s="1" t="e">
        <f>IF(#REF!="","",#REF!)</f>
        <v>#REF!</v>
      </c>
      <c r="C265" s="70" t="s">
        <v>404</v>
      </c>
      <c r="D265" s="58"/>
      <c r="E265" s="59"/>
      <c r="F265" s="59"/>
      <c r="G265" s="59"/>
      <c r="H265" s="60"/>
      <c r="I265" s="32"/>
      <c r="J265" s="60"/>
      <c r="K265" s="61"/>
      <c r="L265" s="32"/>
      <c r="M265" s="65"/>
      <c r="N265" s="63"/>
      <c r="O265" s="64"/>
      <c r="P265" s="71"/>
      <c r="Q265" s="72"/>
      <c r="S265" s="1" t="str">
        <f t="shared" si="4"/>
        <v>B</v>
      </c>
    </row>
    <row r="266" spans="1:19" x14ac:dyDescent="0.55000000000000004">
      <c r="A266" s="1" t="e">
        <f>IF(#REF!="","",#REF!)</f>
        <v>#REF!</v>
      </c>
      <c r="C266" s="70" t="s">
        <v>405</v>
      </c>
      <c r="D266" s="58"/>
      <c r="E266" s="59"/>
      <c r="F266" s="59"/>
      <c r="G266" s="59"/>
      <c r="H266" s="60"/>
      <c r="I266" s="32"/>
      <c r="J266" s="60"/>
      <c r="K266" s="61"/>
      <c r="L266" s="32"/>
      <c r="M266" s="65"/>
      <c r="N266" s="63"/>
      <c r="O266" s="64"/>
      <c r="P266" s="71"/>
      <c r="Q266" s="72"/>
      <c r="S266" s="1" t="str">
        <f t="shared" si="4"/>
        <v>B</v>
      </c>
    </row>
    <row r="267" spans="1:19" x14ac:dyDescent="0.55000000000000004">
      <c r="A267" s="1" t="e">
        <f>IF(#REF!="","",#REF!)</f>
        <v>#REF!</v>
      </c>
      <c r="C267" s="70" t="s">
        <v>406</v>
      </c>
      <c r="D267" s="58"/>
      <c r="E267" s="59"/>
      <c r="F267" s="59"/>
      <c r="G267" s="59"/>
      <c r="H267" s="60"/>
      <c r="I267" s="32"/>
      <c r="J267" s="60"/>
      <c r="K267" s="61"/>
      <c r="L267" s="32"/>
      <c r="M267" s="65"/>
      <c r="N267" s="63"/>
      <c r="O267" s="64"/>
      <c r="P267" s="71"/>
      <c r="Q267" s="72"/>
      <c r="S267" s="1" t="str">
        <f t="shared" si="4"/>
        <v>B</v>
      </c>
    </row>
    <row r="268" spans="1:19" x14ac:dyDescent="0.55000000000000004">
      <c r="A268" s="1" t="e">
        <f>IF(#REF!="","",#REF!)</f>
        <v>#REF!</v>
      </c>
      <c r="C268" s="70" t="s">
        <v>407</v>
      </c>
      <c r="D268" s="58"/>
      <c r="E268" s="59"/>
      <c r="F268" s="59"/>
      <c r="G268" s="59"/>
      <c r="H268" s="60"/>
      <c r="I268" s="32"/>
      <c r="J268" s="60"/>
      <c r="K268" s="61"/>
      <c r="L268" s="32"/>
      <c r="M268" s="65"/>
      <c r="N268" s="63"/>
      <c r="O268" s="64"/>
      <c r="P268" s="71"/>
      <c r="Q268" s="72"/>
      <c r="S268" s="1" t="str">
        <f t="shared" si="4"/>
        <v>B</v>
      </c>
    </row>
    <row r="269" spans="1:19" x14ac:dyDescent="0.55000000000000004">
      <c r="A269" s="1" t="e">
        <f>IF(#REF!="","",#REF!)</f>
        <v>#REF!</v>
      </c>
      <c r="C269" s="70" t="s">
        <v>408</v>
      </c>
      <c r="D269" s="58"/>
      <c r="E269" s="59"/>
      <c r="F269" s="59"/>
      <c r="G269" s="59"/>
      <c r="H269" s="60"/>
      <c r="I269" s="32"/>
      <c r="J269" s="60"/>
      <c r="K269" s="61"/>
      <c r="L269" s="32"/>
      <c r="M269" s="65"/>
      <c r="N269" s="63"/>
      <c r="O269" s="64"/>
      <c r="P269" s="71"/>
      <c r="Q269" s="72"/>
      <c r="S269" s="1" t="str">
        <f t="shared" si="4"/>
        <v>B</v>
      </c>
    </row>
    <row r="270" spans="1:19" x14ac:dyDescent="0.55000000000000004">
      <c r="A270" s="1" t="e">
        <f>IF(#REF!="","",#REF!)</f>
        <v>#REF!</v>
      </c>
      <c r="C270" s="70" t="s">
        <v>409</v>
      </c>
      <c r="D270" s="58"/>
      <c r="E270" s="59"/>
      <c r="F270" s="59"/>
      <c r="G270" s="59"/>
      <c r="H270" s="60"/>
      <c r="I270" s="32"/>
      <c r="J270" s="60"/>
      <c r="K270" s="61"/>
      <c r="L270" s="32"/>
      <c r="M270" s="65"/>
      <c r="N270" s="63"/>
      <c r="O270" s="64"/>
      <c r="P270" s="71"/>
      <c r="Q270" s="72"/>
      <c r="S270" s="1" t="str">
        <f t="shared" si="4"/>
        <v>B</v>
      </c>
    </row>
    <row r="271" spans="1:19" x14ac:dyDescent="0.55000000000000004">
      <c r="A271" s="1" t="e">
        <f>IF(#REF!="","",#REF!)</f>
        <v>#REF!</v>
      </c>
      <c r="C271" s="70" t="s">
        <v>410</v>
      </c>
      <c r="D271" s="58"/>
      <c r="E271" s="59"/>
      <c r="F271" s="59"/>
      <c r="G271" s="59"/>
      <c r="H271" s="60"/>
      <c r="I271" s="32"/>
      <c r="J271" s="60"/>
      <c r="K271" s="61"/>
      <c r="L271" s="32"/>
      <c r="M271" s="65"/>
      <c r="N271" s="63"/>
      <c r="O271" s="64"/>
      <c r="P271" s="71"/>
      <c r="Q271" s="72"/>
      <c r="S271" s="1" t="str">
        <f t="shared" si="4"/>
        <v>B</v>
      </c>
    </row>
    <row r="272" spans="1:19" x14ac:dyDescent="0.55000000000000004">
      <c r="A272" s="1" t="e">
        <f>IF(#REF!="","",#REF!)</f>
        <v>#REF!</v>
      </c>
      <c r="C272" s="70" t="s">
        <v>411</v>
      </c>
      <c r="D272" s="58"/>
      <c r="E272" s="59"/>
      <c r="F272" s="59"/>
      <c r="G272" s="59"/>
      <c r="H272" s="60"/>
      <c r="I272" s="32"/>
      <c r="J272" s="60"/>
      <c r="K272" s="61"/>
      <c r="L272" s="32"/>
      <c r="M272" s="65"/>
      <c r="N272" s="63"/>
      <c r="O272" s="64"/>
      <c r="P272" s="71"/>
      <c r="Q272" s="72"/>
      <c r="S272" s="1" t="str">
        <f t="shared" si="4"/>
        <v>B</v>
      </c>
    </row>
    <row r="273" spans="1:19" x14ac:dyDescent="0.55000000000000004">
      <c r="A273" s="1" t="e">
        <f>IF(#REF!="","",#REF!)</f>
        <v>#REF!</v>
      </c>
      <c r="C273" s="70" t="s">
        <v>412</v>
      </c>
      <c r="D273" s="58"/>
      <c r="E273" s="59"/>
      <c r="F273" s="59"/>
      <c r="G273" s="59"/>
      <c r="H273" s="60"/>
      <c r="I273" s="32"/>
      <c r="J273" s="60"/>
      <c r="K273" s="61"/>
      <c r="L273" s="32"/>
      <c r="M273" s="65"/>
      <c r="N273" s="63"/>
      <c r="O273" s="64"/>
      <c r="P273" s="71"/>
      <c r="Q273" s="72"/>
      <c r="S273" s="1" t="str">
        <f t="shared" si="4"/>
        <v>B</v>
      </c>
    </row>
    <row r="274" spans="1:19" x14ac:dyDescent="0.55000000000000004">
      <c r="A274" s="1" t="e">
        <f>IF(#REF!="","",#REF!)</f>
        <v>#REF!</v>
      </c>
      <c r="C274" s="70" t="s">
        <v>413</v>
      </c>
      <c r="D274" s="58"/>
      <c r="E274" s="59"/>
      <c r="F274" s="59"/>
      <c r="G274" s="59"/>
      <c r="H274" s="60"/>
      <c r="I274" s="32"/>
      <c r="J274" s="60"/>
      <c r="K274" s="61"/>
      <c r="L274" s="32"/>
      <c r="M274" s="65"/>
      <c r="N274" s="63"/>
      <c r="O274" s="64"/>
      <c r="P274" s="71"/>
      <c r="Q274" s="72"/>
      <c r="S274" s="1" t="str">
        <f t="shared" si="4"/>
        <v>B</v>
      </c>
    </row>
    <row r="275" spans="1:19" x14ac:dyDescent="0.55000000000000004">
      <c r="A275" s="1" t="e">
        <f>IF(#REF!="","",#REF!)</f>
        <v>#REF!</v>
      </c>
      <c r="C275" s="70" t="s">
        <v>414</v>
      </c>
      <c r="D275" s="58"/>
      <c r="E275" s="59"/>
      <c r="F275" s="59"/>
      <c r="G275" s="59"/>
      <c r="H275" s="60"/>
      <c r="I275" s="32"/>
      <c r="J275" s="60"/>
      <c r="K275" s="61"/>
      <c r="L275" s="32"/>
      <c r="M275" s="65"/>
      <c r="N275" s="63"/>
      <c r="O275" s="64"/>
      <c r="P275" s="71"/>
      <c r="Q275" s="72"/>
      <c r="S275" s="1" t="str">
        <f t="shared" si="4"/>
        <v>B</v>
      </c>
    </row>
    <row r="276" spans="1:19" x14ac:dyDescent="0.55000000000000004">
      <c r="A276" s="1" t="e">
        <f>IF(#REF!="","",#REF!)</f>
        <v>#REF!</v>
      </c>
      <c r="C276" s="70" t="s">
        <v>415</v>
      </c>
      <c r="D276" s="58"/>
      <c r="E276" s="59"/>
      <c r="F276" s="59"/>
      <c r="G276" s="59"/>
      <c r="H276" s="60"/>
      <c r="I276" s="32"/>
      <c r="J276" s="60"/>
      <c r="K276" s="61"/>
      <c r="L276" s="32"/>
      <c r="M276" s="65"/>
      <c r="N276" s="63"/>
      <c r="O276" s="64"/>
      <c r="P276" s="71"/>
      <c r="Q276" s="72"/>
      <c r="S276" s="1" t="str">
        <f t="shared" si="4"/>
        <v>B</v>
      </c>
    </row>
    <row r="277" spans="1:19" x14ac:dyDescent="0.55000000000000004">
      <c r="A277" s="1" t="e">
        <f>IF(#REF!="","",#REF!)</f>
        <v>#REF!</v>
      </c>
      <c r="C277" s="70" t="s">
        <v>416</v>
      </c>
      <c r="D277" s="58"/>
      <c r="E277" s="59"/>
      <c r="F277" s="59"/>
      <c r="G277" s="59"/>
      <c r="H277" s="60"/>
      <c r="I277" s="32"/>
      <c r="J277" s="60"/>
      <c r="K277" s="61"/>
      <c r="L277" s="32"/>
      <c r="M277" s="65"/>
      <c r="N277" s="63"/>
      <c r="O277" s="64"/>
      <c r="P277" s="71"/>
      <c r="Q277" s="72"/>
      <c r="S277" s="1" t="str">
        <f t="shared" si="4"/>
        <v>B</v>
      </c>
    </row>
    <row r="278" spans="1:19" x14ac:dyDescent="0.55000000000000004">
      <c r="A278" s="1" t="e">
        <f>IF(#REF!="","",#REF!)</f>
        <v>#REF!</v>
      </c>
      <c r="C278" s="70" t="s">
        <v>417</v>
      </c>
      <c r="D278" s="58"/>
      <c r="E278" s="59"/>
      <c r="F278" s="59"/>
      <c r="G278" s="59"/>
      <c r="H278" s="60"/>
      <c r="I278" s="32"/>
      <c r="J278" s="60"/>
      <c r="K278" s="61"/>
      <c r="L278" s="32"/>
      <c r="M278" s="65"/>
      <c r="N278" s="63"/>
      <c r="O278" s="64"/>
      <c r="P278" s="71"/>
      <c r="Q278" s="72"/>
      <c r="S278" s="1" t="str">
        <f t="shared" si="4"/>
        <v>B</v>
      </c>
    </row>
    <row r="279" spans="1:19" x14ac:dyDescent="0.55000000000000004">
      <c r="A279" s="1" t="e">
        <f>IF(#REF!="","",#REF!)</f>
        <v>#REF!</v>
      </c>
      <c r="C279" s="70" t="s">
        <v>418</v>
      </c>
      <c r="D279" s="58"/>
      <c r="E279" s="59"/>
      <c r="F279" s="59"/>
      <c r="G279" s="59"/>
      <c r="H279" s="60"/>
      <c r="I279" s="32"/>
      <c r="J279" s="60"/>
      <c r="K279" s="61"/>
      <c r="L279" s="32"/>
      <c r="M279" s="65"/>
      <c r="N279" s="63"/>
      <c r="O279" s="64"/>
      <c r="P279" s="71"/>
      <c r="Q279" s="72"/>
      <c r="S279" s="1" t="str">
        <f t="shared" si="4"/>
        <v>B</v>
      </c>
    </row>
    <row r="280" spans="1:19" x14ac:dyDescent="0.55000000000000004">
      <c r="A280" s="1" t="e">
        <f>IF(#REF!="","",#REF!)</f>
        <v>#REF!</v>
      </c>
      <c r="C280" s="70" t="s">
        <v>419</v>
      </c>
      <c r="D280" s="58"/>
      <c r="E280" s="59"/>
      <c r="F280" s="59"/>
      <c r="G280" s="59"/>
      <c r="H280" s="60"/>
      <c r="I280" s="32"/>
      <c r="J280" s="60"/>
      <c r="K280" s="61"/>
      <c r="L280" s="32"/>
      <c r="M280" s="65"/>
      <c r="N280" s="63"/>
      <c r="O280" s="64"/>
      <c r="P280" s="71"/>
      <c r="Q280" s="72"/>
      <c r="S280" s="1" t="str">
        <f t="shared" si="4"/>
        <v>B</v>
      </c>
    </row>
    <row r="281" spans="1:19" x14ac:dyDescent="0.55000000000000004">
      <c r="A281" s="1" t="e">
        <f>IF(#REF!="","",#REF!)</f>
        <v>#REF!</v>
      </c>
      <c r="C281" s="70" t="s">
        <v>420</v>
      </c>
      <c r="D281" s="58"/>
      <c r="E281" s="59"/>
      <c r="F281" s="59"/>
      <c r="G281" s="59"/>
      <c r="H281" s="60"/>
      <c r="I281" s="32"/>
      <c r="J281" s="60"/>
      <c r="K281" s="61"/>
      <c r="L281" s="32"/>
      <c r="M281" s="65"/>
      <c r="N281" s="63"/>
      <c r="O281" s="64"/>
      <c r="P281" s="71"/>
      <c r="Q281" s="72"/>
      <c r="S281" s="1" t="str">
        <f t="shared" si="4"/>
        <v>B</v>
      </c>
    </row>
    <row r="282" spans="1:19" x14ac:dyDescent="0.55000000000000004">
      <c r="A282" s="1" t="e">
        <f>IF(#REF!="","",#REF!)</f>
        <v>#REF!</v>
      </c>
      <c r="C282" s="70" t="s">
        <v>421</v>
      </c>
      <c r="D282" s="58"/>
      <c r="E282" s="59"/>
      <c r="F282" s="59"/>
      <c r="G282" s="59"/>
      <c r="H282" s="60"/>
      <c r="I282" s="32"/>
      <c r="J282" s="60"/>
      <c r="K282" s="61"/>
      <c r="L282" s="32"/>
      <c r="M282" s="65"/>
      <c r="N282" s="63"/>
      <c r="O282" s="64"/>
      <c r="P282" s="71"/>
      <c r="Q282" s="72"/>
      <c r="S282" s="1" t="str">
        <f t="shared" si="4"/>
        <v>B</v>
      </c>
    </row>
    <row r="283" spans="1:19" x14ac:dyDescent="0.55000000000000004">
      <c r="A283" s="1" t="e">
        <f>IF(#REF!="","",#REF!)</f>
        <v>#REF!</v>
      </c>
      <c r="C283" s="70" t="s">
        <v>422</v>
      </c>
      <c r="D283" s="58"/>
      <c r="E283" s="59"/>
      <c r="F283" s="59"/>
      <c r="G283" s="59"/>
      <c r="H283" s="60"/>
      <c r="I283" s="32"/>
      <c r="J283" s="60"/>
      <c r="K283" s="61"/>
      <c r="L283" s="32"/>
      <c r="M283" s="65"/>
      <c r="N283" s="63"/>
      <c r="O283" s="64"/>
      <c r="P283" s="71"/>
      <c r="Q283" s="72"/>
      <c r="S283" s="1" t="str">
        <f t="shared" si="4"/>
        <v>B</v>
      </c>
    </row>
    <row r="284" spans="1:19" x14ac:dyDescent="0.55000000000000004">
      <c r="A284" s="1" t="e">
        <f>IF(#REF!="","",#REF!)</f>
        <v>#REF!</v>
      </c>
      <c r="C284" s="70" t="s">
        <v>423</v>
      </c>
      <c r="D284" s="58"/>
      <c r="E284" s="59"/>
      <c r="F284" s="59"/>
      <c r="G284" s="59"/>
      <c r="H284" s="60"/>
      <c r="I284" s="32"/>
      <c r="J284" s="60"/>
      <c r="K284" s="61"/>
      <c r="L284" s="32"/>
      <c r="M284" s="65"/>
      <c r="N284" s="63"/>
      <c r="O284" s="64"/>
      <c r="P284" s="71"/>
      <c r="Q284" s="72"/>
      <c r="S284" s="1" t="str">
        <f t="shared" si="4"/>
        <v>B</v>
      </c>
    </row>
    <row r="285" spans="1:19" x14ac:dyDescent="0.55000000000000004">
      <c r="A285" s="1" t="e">
        <f>IF(#REF!="","",#REF!)</f>
        <v>#REF!</v>
      </c>
      <c r="C285" s="70" t="s">
        <v>424</v>
      </c>
      <c r="D285" s="58"/>
      <c r="E285" s="59"/>
      <c r="F285" s="59"/>
      <c r="G285" s="59"/>
      <c r="H285" s="60"/>
      <c r="I285" s="32"/>
      <c r="J285" s="60"/>
      <c r="K285" s="61"/>
      <c r="L285" s="32"/>
      <c r="M285" s="65"/>
      <c r="N285" s="63"/>
      <c r="O285" s="64"/>
      <c r="P285" s="71"/>
      <c r="Q285" s="72"/>
      <c r="S285" s="1" t="str">
        <f t="shared" si="4"/>
        <v>B</v>
      </c>
    </row>
    <row r="286" spans="1:19" x14ac:dyDescent="0.55000000000000004">
      <c r="A286" s="1" t="e">
        <f>IF(#REF!="","",#REF!)</f>
        <v>#REF!</v>
      </c>
      <c r="C286" s="70" t="s">
        <v>425</v>
      </c>
      <c r="D286" s="58"/>
      <c r="E286" s="59"/>
      <c r="F286" s="59"/>
      <c r="G286" s="59"/>
      <c r="H286" s="60"/>
      <c r="I286" s="32"/>
      <c r="J286" s="60"/>
      <c r="K286" s="61"/>
      <c r="L286" s="32"/>
      <c r="M286" s="65"/>
      <c r="N286" s="63"/>
      <c r="O286" s="64"/>
      <c r="P286" s="71"/>
      <c r="Q286" s="72"/>
      <c r="S286" s="1" t="str">
        <f t="shared" si="4"/>
        <v>B</v>
      </c>
    </row>
    <row r="287" spans="1:19" x14ac:dyDescent="0.55000000000000004">
      <c r="A287" s="1" t="e">
        <f>IF(#REF!="","",#REF!)</f>
        <v>#REF!</v>
      </c>
      <c r="C287" s="70" t="s">
        <v>426</v>
      </c>
      <c r="D287" s="58"/>
      <c r="E287" s="59"/>
      <c r="F287" s="59"/>
      <c r="G287" s="59"/>
      <c r="H287" s="60"/>
      <c r="I287" s="32"/>
      <c r="J287" s="60"/>
      <c r="K287" s="61"/>
      <c r="L287" s="32"/>
      <c r="M287" s="65"/>
      <c r="N287" s="63"/>
      <c r="O287" s="64"/>
      <c r="P287" s="71"/>
      <c r="Q287" s="72"/>
      <c r="S287" s="1" t="str">
        <f t="shared" si="4"/>
        <v>B</v>
      </c>
    </row>
    <row r="288" spans="1:19" x14ac:dyDescent="0.55000000000000004">
      <c r="A288" s="1" t="e">
        <f>IF(#REF!="","",#REF!)</f>
        <v>#REF!</v>
      </c>
      <c r="C288" s="70" t="s">
        <v>427</v>
      </c>
      <c r="D288" s="58"/>
      <c r="E288" s="59"/>
      <c r="F288" s="59"/>
      <c r="G288" s="59"/>
      <c r="H288" s="60"/>
      <c r="I288" s="32"/>
      <c r="J288" s="60"/>
      <c r="K288" s="61"/>
      <c r="L288" s="32"/>
      <c r="M288" s="65"/>
      <c r="N288" s="63"/>
      <c r="O288" s="64"/>
      <c r="P288" s="71"/>
      <c r="Q288" s="72"/>
      <c r="S288" s="1" t="str">
        <f t="shared" si="4"/>
        <v>B</v>
      </c>
    </row>
    <row r="289" spans="1:19" x14ac:dyDescent="0.55000000000000004">
      <c r="A289" s="1" t="e">
        <f>IF(#REF!="","",#REF!)</f>
        <v>#REF!</v>
      </c>
      <c r="C289" s="70" t="s">
        <v>428</v>
      </c>
      <c r="D289" s="58"/>
      <c r="E289" s="59"/>
      <c r="F289" s="59"/>
      <c r="G289" s="59"/>
      <c r="H289" s="60"/>
      <c r="I289" s="32"/>
      <c r="J289" s="60"/>
      <c r="K289" s="61"/>
      <c r="L289" s="32"/>
      <c r="M289" s="65"/>
      <c r="N289" s="63"/>
      <c r="O289" s="64"/>
      <c r="P289" s="71"/>
      <c r="Q289" s="72"/>
      <c r="S289" s="1" t="str">
        <f t="shared" si="4"/>
        <v>B</v>
      </c>
    </row>
    <row r="290" spans="1:19" x14ac:dyDescent="0.55000000000000004">
      <c r="A290" s="1" t="e">
        <f>IF(#REF!="","",#REF!)</f>
        <v>#REF!</v>
      </c>
      <c r="C290" s="70" t="s">
        <v>429</v>
      </c>
      <c r="D290" s="58"/>
      <c r="E290" s="59"/>
      <c r="F290" s="59"/>
      <c r="G290" s="59"/>
      <c r="H290" s="60"/>
      <c r="I290" s="32"/>
      <c r="J290" s="60"/>
      <c r="K290" s="61"/>
      <c r="L290" s="32"/>
      <c r="M290" s="65"/>
      <c r="N290" s="63"/>
      <c r="O290" s="64"/>
      <c r="P290" s="71"/>
      <c r="Q290" s="72"/>
      <c r="S290" s="1" t="str">
        <f t="shared" si="4"/>
        <v>B</v>
      </c>
    </row>
    <row r="291" spans="1:19" x14ac:dyDescent="0.55000000000000004">
      <c r="A291" s="1" t="e">
        <f>IF(#REF!="","",#REF!)</f>
        <v>#REF!</v>
      </c>
      <c r="C291" s="70" t="s">
        <v>430</v>
      </c>
      <c r="D291" s="58"/>
      <c r="E291" s="59"/>
      <c r="F291" s="59"/>
      <c r="G291" s="59"/>
      <c r="H291" s="60"/>
      <c r="I291" s="32"/>
      <c r="J291" s="60"/>
      <c r="K291" s="61"/>
      <c r="L291" s="32"/>
      <c r="M291" s="65"/>
      <c r="N291" s="63"/>
      <c r="O291" s="64"/>
      <c r="P291" s="71"/>
      <c r="Q291" s="72"/>
      <c r="S291" s="1" t="str">
        <f t="shared" si="4"/>
        <v>B</v>
      </c>
    </row>
    <row r="292" spans="1:19" x14ac:dyDescent="0.55000000000000004">
      <c r="A292" s="1" t="e">
        <f>IF(#REF!="","",#REF!)</f>
        <v>#REF!</v>
      </c>
      <c r="C292" s="70" t="s">
        <v>431</v>
      </c>
      <c r="D292" s="58"/>
      <c r="E292" s="59"/>
      <c r="F292" s="59"/>
      <c r="G292" s="59"/>
      <c r="H292" s="60"/>
      <c r="I292" s="32"/>
      <c r="J292" s="60"/>
      <c r="K292" s="61"/>
      <c r="L292" s="32"/>
      <c r="M292" s="65"/>
      <c r="N292" s="63"/>
      <c r="O292" s="64"/>
      <c r="P292" s="71"/>
      <c r="Q292" s="72"/>
      <c r="S292" s="1" t="str">
        <f t="shared" si="4"/>
        <v>B</v>
      </c>
    </row>
    <row r="293" spans="1:19" x14ac:dyDescent="0.55000000000000004">
      <c r="A293" s="1" t="e">
        <f>IF(#REF!="","",#REF!)</f>
        <v>#REF!</v>
      </c>
      <c r="C293" s="70" t="s">
        <v>432</v>
      </c>
      <c r="D293" s="58"/>
      <c r="E293" s="59"/>
      <c r="F293" s="59"/>
      <c r="G293" s="59"/>
      <c r="H293" s="60"/>
      <c r="I293" s="32"/>
      <c r="J293" s="60"/>
      <c r="K293" s="61"/>
      <c r="L293" s="32"/>
      <c r="M293" s="65"/>
      <c r="N293" s="63"/>
      <c r="O293" s="64"/>
      <c r="P293" s="71"/>
      <c r="Q293" s="72"/>
      <c r="S293" s="1" t="str">
        <f t="shared" si="4"/>
        <v>B</v>
      </c>
    </row>
    <row r="294" spans="1:19" x14ac:dyDescent="0.55000000000000004">
      <c r="A294" s="1" t="e">
        <f>IF(#REF!="","",#REF!)</f>
        <v>#REF!</v>
      </c>
      <c r="C294" s="70" t="s">
        <v>433</v>
      </c>
      <c r="D294" s="58"/>
      <c r="E294" s="59"/>
      <c r="F294" s="59"/>
      <c r="G294" s="59"/>
      <c r="H294" s="60"/>
      <c r="I294" s="32"/>
      <c r="J294" s="60"/>
      <c r="K294" s="61"/>
      <c r="L294" s="32"/>
      <c r="M294" s="65"/>
      <c r="N294" s="63"/>
      <c r="O294" s="64"/>
      <c r="P294" s="71"/>
      <c r="Q294" s="72"/>
      <c r="S294" s="1" t="str">
        <f t="shared" si="4"/>
        <v>B</v>
      </c>
    </row>
    <row r="295" spans="1:19" x14ac:dyDescent="0.55000000000000004">
      <c r="A295" s="1" t="e">
        <f>IF(#REF!="","",#REF!)</f>
        <v>#REF!</v>
      </c>
      <c r="C295" s="70" t="s">
        <v>434</v>
      </c>
      <c r="D295" s="58"/>
      <c r="E295" s="59"/>
      <c r="F295" s="59"/>
      <c r="G295" s="59"/>
      <c r="H295" s="60"/>
      <c r="I295" s="32"/>
      <c r="J295" s="60"/>
      <c r="K295" s="61"/>
      <c r="L295" s="32"/>
      <c r="M295" s="65"/>
      <c r="N295" s="63"/>
      <c r="O295" s="64"/>
      <c r="P295" s="71"/>
      <c r="Q295" s="72"/>
      <c r="S295" s="1" t="str">
        <f t="shared" si="4"/>
        <v>B</v>
      </c>
    </row>
    <row r="296" spans="1:19" x14ac:dyDescent="0.55000000000000004">
      <c r="A296" s="1" t="e">
        <f>IF(#REF!="","",#REF!)</f>
        <v>#REF!</v>
      </c>
      <c r="C296" s="70" t="s">
        <v>435</v>
      </c>
      <c r="D296" s="58"/>
      <c r="E296" s="59"/>
      <c r="F296" s="59"/>
      <c r="G296" s="59"/>
      <c r="H296" s="60"/>
      <c r="I296" s="32"/>
      <c r="J296" s="60"/>
      <c r="K296" s="61"/>
      <c r="L296" s="32"/>
      <c r="M296" s="65"/>
      <c r="N296" s="63"/>
      <c r="O296" s="64"/>
      <c r="P296" s="71"/>
      <c r="Q296" s="72"/>
      <c r="S296" s="1" t="str">
        <f t="shared" si="4"/>
        <v>B</v>
      </c>
    </row>
    <row r="297" spans="1:19" x14ac:dyDescent="0.55000000000000004">
      <c r="A297" s="1" t="e">
        <f>IF(#REF!="","",#REF!)</f>
        <v>#REF!</v>
      </c>
      <c r="C297" s="70" t="s">
        <v>436</v>
      </c>
      <c r="D297" s="58"/>
      <c r="E297" s="59"/>
      <c r="F297" s="59"/>
      <c r="G297" s="59"/>
      <c r="H297" s="60"/>
      <c r="I297" s="32"/>
      <c r="J297" s="60"/>
      <c r="K297" s="61"/>
      <c r="L297" s="32"/>
      <c r="M297" s="65"/>
      <c r="N297" s="63"/>
      <c r="O297" s="64"/>
      <c r="P297" s="71"/>
      <c r="Q297" s="72"/>
      <c r="S297" s="1" t="str">
        <f t="shared" si="4"/>
        <v>B</v>
      </c>
    </row>
    <row r="298" spans="1:19" x14ac:dyDescent="0.55000000000000004">
      <c r="A298" s="1" t="e">
        <f>IF(#REF!="","",#REF!)</f>
        <v>#REF!</v>
      </c>
      <c r="C298" s="70" t="s">
        <v>437</v>
      </c>
      <c r="D298" s="58"/>
      <c r="E298" s="59"/>
      <c r="F298" s="59"/>
      <c r="G298" s="59"/>
      <c r="H298" s="60"/>
      <c r="I298" s="32"/>
      <c r="J298" s="60"/>
      <c r="K298" s="61"/>
      <c r="L298" s="32"/>
      <c r="M298" s="65"/>
      <c r="N298" s="63"/>
      <c r="O298" s="64"/>
      <c r="P298" s="71"/>
      <c r="Q298" s="72"/>
      <c r="S298" s="1" t="str">
        <f t="shared" ref="S298:S361" si="5">IF(E298="キャンセル","",IF(G298="故障","A",IF(G298="紛失・盗難","A",IF(G298="キッティング","A","B"))))</f>
        <v>B</v>
      </c>
    </row>
    <row r="299" spans="1:19" x14ac:dyDescent="0.55000000000000004">
      <c r="A299" s="1" t="e">
        <f>IF(#REF!="","",#REF!)</f>
        <v>#REF!</v>
      </c>
      <c r="C299" s="70" t="s">
        <v>438</v>
      </c>
      <c r="D299" s="58"/>
      <c r="E299" s="59"/>
      <c r="F299" s="59"/>
      <c r="G299" s="59"/>
      <c r="H299" s="60"/>
      <c r="I299" s="32"/>
      <c r="J299" s="60"/>
      <c r="K299" s="61"/>
      <c r="L299" s="32"/>
      <c r="M299" s="65"/>
      <c r="N299" s="63"/>
      <c r="O299" s="64"/>
      <c r="P299" s="71"/>
      <c r="Q299" s="72"/>
      <c r="S299" s="1" t="str">
        <f t="shared" si="5"/>
        <v>B</v>
      </c>
    </row>
    <row r="300" spans="1:19" x14ac:dyDescent="0.55000000000000004">
      <c r="A300" s="1" t="e">
        <f>IF(#REF!="","",#REF!)</f>
        <v>#REF!</v>
      </c>
      <c r="C300" s="70" t="s">
        <v>439</v>
      </c>
      <c r="D300" s="58"/>
      <c r="E300" s="59"/>
      <c r="F300" s="59"/>
      <c r="G300" s="59"/>
      <c r="H300" s="60"/>
      <c r="I300" s="32"/>
      <c r="J300" s="60"/>
      <c r="K300" s="61"/>
      <c r="L300" s="32"/>
      <c r="M300" s="65"/>
      <c r="N300" s="63"/>
      <c r="O300" s="64"/>
      <c r="P300" s="71"/>
      <c r="Q300" s="72"/>
      <c r="S300" s="1" t="str">
        <f t="shared" si="5"/>
        <v>B</v>
      </c>
    </row>
    <row r="301" spans="1:19" x14ac:dyDescent="0.55000000000000004">
      <c r="A301" s="1" t="e">
        <f>IF(#REF!="","",#REF!)</f>
        <v>#REF!</v>
      </c>
      <c r="C301" s="70" t="s">
        <v>440</v>
      </c>
      <c r="D301" s="58"/>
      <c r="E301" s="59"/>
      <c r="F301" s="59"/>
      <c r="G301" s="59"/>
      <c r="H301" s="60"/>
      <c r="I301" s="32"/>
      <c r="J301" s="60"/>
      <c r="K301" s="61"/>
      <c r="L301" s="32"/>
      <c r="M301" s="65"/>
      <c r="N301" s="63"/>
      <c r="O301" s="64"/>
      <c r="P301" s="71"/>
      <c r="Q301" s="72"/>
      <c r="S301" s="1" t="str">
        <f t="shared" si="5"/>
        <v>B</v>
      </c>
    </row>
    <row r="302" spans="1:19" x14ac:dyDescent="0.55000000000000004">
      <c r="A302" s="1" t="e">
        <f>IF(#REF!="","",#REF!)</f>
        <v>#REF!</v>
      </c>
      <c r="C302" s="70" t="s">
        <v>441</v>
      </c>
      <c r="D302" s="58"/>
      <c r="E302" s="59"/>
      <c r="F302" s="59"/>
      <c r="G302" s="59"/>
      <c r="H302" s="60"/>
      <c r="I302" s="32"/>
      <c r="J302" s="60"/>
      <c r="K302" s="61"/>
      <c r="L302" s="32"/>
      <c r="M302" s="65"/>
      <c r="N302" s="63"/>
      <c r="O302" s="64"/>
      <c r="P302" s="71"/>
      <c r="Q302" s="72"/>
      <c r="S302" s="1" t="str">
        <f t="shared" si="5"/>
        <v>B</v>
      </c>
    </row>
    <row r="303" spans="1:19" x14ac:dyDescent="0.55000000000000004">
      <c r="A303" s="1" t="e">
        <f>IF(#REF!="","",#REF!)</f>
        <v>#REF!</v>
      </c>
      <c r="C303" s="70" t="s">
        <v>442</v>
      </c>
      <c r="D303" s="58"/>
      <c r="E303" s="59"/>
      <c r="F303" s="59"/>
      <c r="G303" s="59"/>
      <c r="H303" s="60"/>
      <c r="I303" s="32"/>
      <c r="J303" s="60"/>
      <c r="K303" s="61"/>
      <c r="L303" s="32"/>
      <c r="M303" s="65"/>
      <c r="N303" s="63"/>
      <c r="O303" s="64"/>
      <c r="P303" s="71"/>
      <c r="Q303" s="72"/>
      <c r="S303" s="1" t="str">
        <f t="shared" si="5"/>
        <v>B</v>
      </c>
    </row>
    <row r="304" spans="1:19" x14ac:dyDescent="0.55000000000000004">
      <c r="A304" s="1" t="e">
        <f>IF(#REF!="","",#REF!)</f>
        <v>#REF!</v>
      </c>
      <c r="C304" s="70" t="s">
        <v>443</v>
      </c>
      <c r="D304" s="58"/>
      <c r="E304" s="59"/>
      <c r="F304" s="59"/>
      <c r="G304" s="59"/>
      <c r="H304" s="60"/>
      <c r="I304" s="32"/>
      <c r="J304" s="60"/>
      <c r="K304" s="61"/>
      <c r="L304" s="32"/>
      <c r="M304" s="65"/>
      <c r="N304" s="63"/>
      <c r="O304" s="64"/>
      <c r="P304" s="71"/>
      <c r="Q304" s="72"/>
      <c r="S304" s="1" t="str">
        <f t="shared" si="5"/>
        <v>B</v>
      </c>
    </row>
    <row r="305" spans="1:19" x14ac:dyDescent="0.55000000000000004">
      <c r="A305" s="1" t="e">
        <f>IF(#REF!="","",#REF!)</f>
        <v>#REF!</v>
      </c>
      <c r="C305" s="70" t="s">
        <v>444</v>
      </c>
      <c r="D305" s="58"/>
      <c r="E305" s="59"/>
      <c r="F305" s="59"/>
      <c r="G305" s="59"/>
      <c r="H305" s="60"/>
      <c r="I305" s="32"/>
      <c r="J305" s="60"/>
      <c r="K305" s="61"/>
      <c r="L305" s="32"/>
      <c r="M305" s="65"/>
      <c r="N305" s="63"/>
      <c r="O305" s="64"/>
      <c r="P305" s="71"/>
      <c r="Q305" s="72"/>
      <c r="S305" s="1" t="str">
        <f t="shared" si="5"/>
        <v>B</v>
      </c>
    </row>
    <row r="306" spans="1:19" x14ac:dyDescent="0.55000000000000004">
      <c r="A306" s="1" t="e">
        <f>IF(#REF!="","",#REF!)</f>
        <v>#REF!</v>
      </c>
      <c r="C306" s="70" t="s">
        <v>445</v>
      </c>
      <c r="D306" s="58"/>
      <c r="E306" s="59"/>
      <c r="F306" s="59"/>
      <c r="G306" s="59"/>
      <c r="H306" s="60"/>
      <c r="I306" s="32"/>
      <c r="J306" s="60"/>
      <c r="K306" s="61"/>
      <c r="L306" s="32"/>
      <c r="M306" s="65"/>
      <c r="N306" s="63"/>
      <c r="O306" s="64"/>
      <c r="P306" s="71"/>
      <c r="Q306" s="72"/>
      <c r="S306" s="1" t="str">
        <f t="shared" si="5"/>
        <v>B</v>
      </c>
    </row>
    <row r="307" spans="1:19" x14ac:dyDescent="0.55000000000000004">
      <c r="A307" s="1" t="e">
        <f>IF(#REF!="","",#REF!)</f>
        <v>#REF!</v>
      </c>
      <c r="C307" s="70" t="s">
        <v>446</v>
      </c>
      <c r="D307" s="58"/>
      <c r="E307" s="59"/>
      <c r="F307" s="59"/>
      <c r="G307" s="59"/>
      <c r="H307" s="60"/>
      <c r="I307" s="32"/>
      <c r="J307" s="60"/>
      <c r="K307" s="61"/>
      <c r="L307" s="32"/>
      <c r="M307" s="65"/>
      <c r="N307" s="63"/>
      <c r="O307" s="64"/>
      <c r="P307" s="71"/>
      <c r="Q307" s="72"/>
      <c r="S307" s="1" t="str">
        <f t="shared" si="5"/>
        <v>B</v>
      </c>
    </row>
    <row r="308" spans="1:19" x14ac:dyDescent="0.55000000000000004">
      <c r="A308" s="1" t="e">
        <f>IF(#REF!="","",#REF!)</f>
        <v>#REF!</v>
      </c>
      <c r="C308" s="70" t="s">
        <v>447</v>
      </c>
      <c r="D308" s="58"/>
      <c r="E308" s="59"/>
      <c r="F308" s="59"/>
      <c r="G308" s="59"/>
      <c r="H308" s="60"/>
      <c r="I308" s="32"/>
      <c r="J308" s="60"/>
      <c r="K308" s="61"/>
      <c r="L308" s="32"/>
      <c r="M308" s="65"/>
      <c r="N308" s="63"/>
      <c r="O308" s="64"/>
      <c r="P308" s="71"/>
      <c r="Q308" s="72"/>
      <c r="S308" s="1" t="str">
        <f t="shared" si="5"/>
        <v>B</v>
      </c>
    </row>
    <row r="309" spans="1:19" x14ac:dyDescent="0.55000000000000004">
      <c r="A309" s="1" t="e">
        <f>IF(#REF!="","",#REF!)</f>
        <v>#REF!</v>
      </c>
      <c r="C309" s="70" t="s">
        <v>448</v>
      </c>
      <c r="D309" s="58"/>
      <c r="E309" s="59"/>
      <c r="F309" s="59"/>
      <c r="G309" s="59"/>
      <c r="H309" s="60"/>
      <c r="I309" s="32"/>
      <c r="J309" s="60"/>
      <c r="K309" s="61"/>
      <c r="L309" s="32"/>
      <c r="M309" s="65"/>
      <c r="N309" s="63"/>
      <c r="O309" s="64"/>
      <c r="P309" s="71"/>
      <c r="Q309" s="72"/>
      <c r="S309" s="1" t="str">
        <f t="shared" si="5"/>
        <v>B</v>
      </c>
    </row>
    <row r="310" spans="1:19" x14ac:dyDescent="0.55000000000000004">
      <c r="A310" s="1" t="e">
        <f>IF(#REF!="","",#REF!)</f>
        <v>#REF!</v>
      </c>
      <c r="C310" s="70" t="s">
        <v>449</v>
      </c>
      <c r="D310" s="58"/>
      <c r="E310" s="59"/>
      <c r="F310" s="59"/>
      <c r="G310" s="59"/>
      <c r="H310" s="60"/>
      <c r="I310" s="32"/>
      <c r="J310" s="60"/>
      <c r="K310" s="61"/>
      <c r="L310" s="32"/>
      <c r="M310" s="65"/>
      <c r="N310" s="63"/>
      <c r="O310" s="64"/>
      <c r="P310" s="71"/>
      <c r="Q310" s="72"/>
      <c r="S310" s="1" t="str">
        <f t="shared" si="5"/>
        <v>B</v>
      </c>
    </row>
    <row r="311" spans="1:19" x14ac:dyDescent="0.55000000000000004">
      <c r="A311" s="1" t="e">
        <f>IF(#REF!="","",#REF!)</f>
        <v>#REF!</v>
      </c>
      <c r="C311" s="70" t="s">
        <v>450</v>
      </c>
      <c r="D311" s="58"/>
      <c r="E311" s="59"/>
      <c r="F311" s="59"/>
      <c r="G311" s="59"/>
      <c r="H311" s="60"/>
      <c r="I311" s="32"/>
      <c r="J311" s="60"/>
      <c r="K311" s="61"/>
      <c r="L311" s="32"/>
      <c r="M311" s="65"/>
      <c r="N311" s="63"/>
      <c r="O311" s="64"/>
      <c r="P311" s="71"/>
      <c r="Q311" s="72"/>
      <c r="S311" s="1" t="str">
        <f t="shared" si="5"/>
        <v>B</v>
      </c>
    </row>
    <row r="312" spans="1:19" x14ac:dyDescent="0.55000000000000004">
      <c r="A312" s="1" t="e">
        <f>IF(#REF!="","",#REF!)</f>
        <v>#REF!</v>
      </c>
      <c r="C312" s="70" t="s">
        <v>451</v>
      </c>
      <c r="D312" s="58"/>
      <c r="E312" s="59"/>
      <c r="F312" s="59"/>
      <c r="G312" s="59"/>
      <c r="H312" s="60"/>
      <c r="I312" s="32"/>
      <c r="J312" s="60"/>
      <c r="K312" s="61"/>
      <c r="L312" s="32"/>
      <c r="M312" s="65"/>
      <c r="N312" s="63"/>
      <c r="O312" s="64"/>
      <c r="P312" s="71"/>
      <c r="Q312" s="72"/>
      <c r="S312" s="1" t="str">
        <f t="shared" si="5"/>
        <v>B</v>
      </c>
    </row>
    <row r="313" spans="1:19" x14ac:dyDescent="0.55000000000000004">
      <c r="A313" s="1" t="e">
        <f>IF(#REF!="","",#REF!)</f>
        <v>#REF!</v>
      </c>
      <c r="C313" s="70" t="s">
        <v>452</v>
      </c>
      <c r="D313" s="58"/>
      <c r="E313" s="59"/>
      <c r="F313" s="59"/>
      <c r="G313" s="59"/>
      <c r="H313" s="60"/>
      <c r="I313" s="32"/>
      <c r="J313" s="60"/>
      <c r="K313" s="61"/>
      <c r="L313" s="32"/>
      <c r="M313" s="65"/>
      <c r="N313" s="63"/>
      <c r="O313" s="64"/>
      <c r="P313" s="71"/>
      <c r="Q313" s="72"/>
      <c r="S313" s="1" t="str">
        <f t="shared" si="5"/>
        <v>B</v>
      </c>
    </row>
    <row r="314" spans="1:19" x14ac:dyDescent="0.55000000000000004">
      <c r="A314" s="1" t="e">
        <f>IF(#REF!="","",#REF!)</f>
        <v>#REF!</v>
      </c>
      <c r="C314" s="70" t="s">
        <v>453</v>
      </c>
      <c r="D314" s="58"/>
      <c r="E314" s="59"/>
      <c r="F314" s="59"/>
      <c r="G314" s="59"/>
      <c r="H314" s="60"/>
      <c r="I314" s="32"/>
      <c r="J314" s="60"/>
      <c r="K314" s="61"/>
      <c r="L314" s="32"/>
      <c r="M314" s="65"/>
      <c r="N314" s="63"/>
      <c r="O314" s="64"/>
      <c r="P314" s="71"/>
      <c r="Q314" s="72"/>
      <c r="S314" s="1" t="str">
        <f t="shared" si="5"/>
        <v>B</v>
      </c>
    </row>
    <row r="315" spans="1:19" x14ac:dyDescent="0.55000000000000004">
      <c r="A315" s="1" t="e">
        <f>IF(#REF!="","",#REF!)</f>
        <v>#REF!</v>
      </c>
      <c r="C315" s="70" t="s">
        <v>454</v>
      </c>
      <c r="D315" s="58"/>
      <c r="E315" s="59"/>
      <c r="F315" s="59"/>
      <c r="G315" s="59"/>
      <c r="H315" s="60"/>
      <c r="I315" s="32"/>
      <c r="J315" s="60"/>
      <c r="K315" s="61"/>
      <c r="L315" s="32"/>
      <c r="M315" s="65"/>
      <c r="N315" s="63"/>
      <c r="O315" s="64"/>
      <c r="P315" s="71"/>
      <c r="Q315" s="72"/>
      <c r="S315" s="1" t="str">
        <f t="shared" si="5"/>
        <v>B</v>
      </c>
    </row>
    <row r="316" spans="1:19" x14ac:dyDescent="0.55000000000000004">
      <c r="A316" s="1" t="e">
        <f>IF(#REF!="","",#REF!)</f>
        <v>#REF!</v>
      </c>
      <c r="C316" s="70" t="s">
        <v>455</v>
      </c>
      <c r="D316" s="58"/>
      <c r="E316" s="59"/>
      <c r="F316" s="59"/>
      <c r="G316" s="59"/>
      <c r="H316" s="60"/>
      <c r="I316" s="32"/>
      <c r="J316" s="60"/>
      <c r="K316" s="61"/>
      <c r="L316" s="32"/>
      <c r="M316" s="65"/>
      <c r="N316" s="63"/>
      <c r="O316" s="64"/>
      <c r="P316" s="71"/>
      <c r="Q316" s="72"/>
      <c r="S316" s="1" t="str">
        <f t="shared" si="5"/>
        <v>B</v>
      </c>
    </row>
    <row r="317" spans="1:19" x14ac:dyDescent="0.55000000000000004">
      <c r="A317" s="1" t="e">
        <f>IF(#REF!="","",#REF!)</f>
        <v>#REF!</v>
      </c>
      <c r="C317" s="70" t="s">
        <v>456</v>
      </c>
      <c r="D317" s="58"/>
      <c r="E317" s="59"/>
      <c r="F317" s="59"/>
      <c r="G317" s="59"/>
      <c r="H317" s="60"/>
      <c r="I317" s="32"/>
      <c r="J317" s="60"/>
      <c r="K317" s="61"/>
      <c r="L317" s="32"/>
      <c r="M317" s="65"/>
      <c r="N317" s="63"/>
      <c r="O317" s="64"/>
      <c r="P317" s="71"/>
      <c r="Q317" s="72"/>
      <c r="S317" s="1" t="str">
        <f t="shared" si="5"/>
        <v>B</v>
      </c>
    </row>
    <row r="318" spans="1:19" x14ac:dyDescent="0.55000000000000004">
      <c r="A318" s="1" t="e">
        <f>IF(#REF!="","",#REF!)</f>
        <v>#REF!</v>
      </c>
      <c r="C318" s="70" t="s">
        <v>457</v>
      </c>
      <c r="D318" s="58"/>
      <c r="E318" s="59"/>
      <c r="F318" s="59"/>
      <c r="G318" s="59"/>
      <c r="H318" s="60"/>
      <c r="I318" s="32"/>
      <c r="J318" s="60"/>
      <c r="K318" s="61"/>
      <c r="L318" s="32"/>
      <c r="M318" s="65"/>
      <c r="N318" s="63"/>
      <c r="O318" s="64"/>
      <c r="P318" s="71"/>
      <c r="Q318" s="72"/>
      <c r="S318" s="1" t="str">
        <f t="shared" si="5"/>
        <v>B</v>
      </c>
    </row>
    <row r="319" spans="1:19" x14ac:dyDescent="0.55000000000000004">
      <c r="A319" s="1" t="e">
        <f>IF(#REF!="","",#REF!)</f>
        <v>#REF!</v>
      </c>
      <c r="C319" s="70" t="s">
        <v>458</v>
      </c>
      <c r="D319" s="58"/>
      <c r="E319" s="59"/>
      <c r="F319" s="59"/>
      <c r="G319" s="59"/>
      <c r="H319" s="60"/>
      <c r="I319" s="32"/>
      <c r="J319" s="60"/>
      <c r="K319" s="61"/>
      <c r="L319" s="32"/>
      <c r="M319" s="65"/>
      <c r="N319" s="63"/>
      <c r="O319" s="64"/>
      <c r="P319" s="71"/>
      <c r="Q319" s="72"/>
      <c r="S319" s="1" t="str">
        <f t="shared" si="5"/>
        <v>B</v>
      </c>
    </row>
    <row r="320" spans="1:19" x14ac:dyDescent="0.55000000000000004">
      <c r="A320" s="1" t="e">
        <f>IF(#REF!="","",#REF!)</f>
        <v>#REF!</v>
      </c>
      <c r="C320" s="70" t="s">
        <v>459</v>
      </c>
      <c r="D320" s="58"/>
      <c r="E320" s="59"/>
      <c r="F320" s="59"/>
      <c r="G320" s="59"/>
      <c r="H320" s="60"/>
      <c r="I320" s="32"/>
      <c r="J320" s="60"/>
      <c r="K320" s="61"/>
      <c r="L320" s="32"/>
      <c r="M320" s="65"/>
      <c r="N320" s="63"/>
      <c r="O320" s="64"/>
      <c r="P320" s="71"/>
      <c r="Q320" s="72"/>
      <c r="S320" s="1" t="str">
        <f t="shared" si="5"/>
        <v>B</v>
      </c>
    </row>
    <row r="321" spans="1:19" x14ac:dyDescent="0.55000000000000004">
      <c r="A321" s="1" t="e">
        <f>IF(#REF!="","",#REF!)</f>
        <v>#REF!</v>
      </c>
      <c r="C321" s="70" t="s">
        <v>460</v>
      </c>
      <c r="D321" s="58"/>
      <c r="E321" s="59"/>
      <c r="F321" s="59"/>
      <c r="G321" s="59"/>
      <c r="H321" s="60"/>
      <c r="I321" s="32"/>
      <c r="J321" s="60"/>
      <c r="K321" s="61"/>
      <c r="L321" s="32"/>
      <c r="M321" s="65"/>
      <c r="N321" s="63"/>
      <c r="O321" s="64"/>
      <c r="P321" s="71"/>
      <c r="Q321" s="72"/>
      <c r="S321" s="1" t="str">
        <f t="shared" si="5"/>
        <v>B</v>
      </c>
    </row>
    <row r="322" spans="1:19" x14ac:dyDescent="0.55000000000000004">
      <c r="A322" s="1" t="e">
        <f>IF(#REF!="","",#REF!)</f>
        <v>#REF!</v>
      </c>
      <c r="C322" s="70" t="s">
        <v>461</v>
      </c>
      <c r="D322" s="58"/>
      <c r="E322" s="59"/>
      <c r="F322" s="59"/>
      <c r="G322" s="59"/>
      <c r="H322" s="60"/>
      <c r="I322" s="32"/>
      <c r="J322" s="60"/>
      <c r="K322" s="61"/>
      <c r="L322" s="32"/>
      <c r="M322" s="65"/>
      <c r="N322" s="63"/>
      <c r="O322" s="64"/>
      <c r="P322" s="71"/>
      <c r="Q322" s="72"/>
      <c r="S322" s="1" t="str">
        <f t="shared" si="5"/>
        <v>B</v>
      </c>
    </row>
    <row r="323" spans="1:19" x14ac:dyDescent="0.55000000000000004">
      <c r="A323" s="1" t="e">
        <f>IF(#REF!="","",#REF!)</f>
        <v>#REF!</v>
      </c>
      <c r="C323" s="70" t="s">
        <v>462</v>
      </c>
      <c r="D323" s="58"/>
      <c r="E323" s="59"/>
      <c r="F323" s="59"/>
      <c r="G323" s="59"/>
      <c r="H323" s="60"/>
      <c r="I323" s="32"/>
      <c r="J323" s="60"/>
      <c r="K323" s="61"/>
      <c r="L323" s="32"/>
      <c r="M323" s="65"/>
      <c r="N323" s="63"/>
      <c r="O323" s="64"/>
      <c r="P323" s="71"/>
      <c r="Q323" s="72"/>
      <c r="S323" s="1" t="str">
        <f t="shared" si="5"/>
        <v>B</v>
      </c>
    </row>
    <row r="324" spans="1:19" x14ac:dyDescent="0.55000000000000004">
      <c r="A324" s="1" t="e">
        <f>IF(#REF!="","",#REF!)</f>
        <v>#REF!</v>
      </c>
      <c r="C324" s="70" t="s">
        <v>463</v>
      </c>
      <c r="D324" s="58"/>
      <c r="E324" s="59"/>
      <c r="F324" s="59"/>
      <c r="G324" s="59"/>
      <c r="H324" s="60"/>
      <c r="I324" s="32"/>
      <c r="J324" s="60"/>
      <c r="K324" s="61"/>
      <c r="L324" s="32"/>
      <c r="M324" s="65"/>
      <c r="N324" s="63"/>
      <c r="O324" s="64"/>
      <c r="P324" s="71"/>
      <c r="Q324" s="72"/>
      <c r="S324" s="1" t="str">
        <f t="shared" si="5"/>
        <v>B</v>
      </c>
    </row>
    <row r="325" spans="1:19" x14ac:dyDescent="0.55000000000000004">
      <c r="A325" s="1" t="e">
        <f>IF(#REF!="","",#REF!)</f>
        <v>#REF!</v>
      </c>
      <c r="C325" s="70" t="s">
        <v>464</v>
      </c>
      <c r="D325" s="58"/>
      <c r="E325" s="59"/>
      <c r="F325" s="59"/>
      <c r="G325" s="59"/>
      <c r="H325" s="60"/>
      <c r="I325" s="32"/>
      <c r="J325" s="60"/>
      <c r="K325" s="61"/>
      <c r="L325" s="32"/>
      <c r="M325" s="65"/>
      <c r="N325" s="63"/>
      <c r="O325" s="64"/>
      <c r="P325" s="71"/>
      <c r="Q325" s="72"/>
      <c r="S325" s="1" t="str">
        <f t="shared" si="5"/>
        <v>B</v>
      </c>
    </row>
    <row r="326" spans="1:19" x14ac:dyDescent="0.55000000000000004">
      <c r="A326" s="1" t="e">
        <f>IF(#REF!="","",#REF!)</f>
        <v>#REF!</v>
      </c>
      <c r="C326" s="70" t="s">
        <v>465</v>
      </c>
      <c r="D326" s="58"/>
      <c r="E326" s="59"/>
      <c r="F326" s="59"/>
      <c r="G326" s="59"/>
      <c r="H326" s="60"/>
      <c r="I326" s="32"/>
      <c r="J326" s="60"/>
      <c r="K326" s="61"/>
      <c r="L326" s="32"/>
      <c r="M326" s="65"/>
      <c r="N326" s="63"/>
      <c r="O326" s="64"/>
      <c r="P326" s="71"/>
      <c r="Q326" s="72"/>
      <c r="S326" s="1" t="str">
        <f t="shared" si="5"/>
        <v>B</v>
      </c>
    </row>
    <row r="327" spans="1:19" x14ac:dyDescent="0.55000000000000004">
      <c r="A327" s="1" t="e">
        <f>IF(#REF!="","",#REF!)</f>
        <v>#REF!</v>
      </c>
      <c r="C327" s="70" t="s">
        <v>466</v>
      </c>
      <c r="D327" s="58"/>
      <c r="E327" s="59"/>
      <c r="F327" s="59"/>
      <c r="G327" s="59"/>
      <c r="H327" s="60"/>
      <c r="I327" s="32"/>
      <c r="J327" s="60"/>
      <c r="K327" s="61"/>
      <c r="L327" s="32"/>
      <c r="M327" s="65"/>
      <c r="N327" s="63"/>
      <c r="O327" s="64"/>
      <c r="P327" s="71"/>
      <c r="Q327" s="72"/>
      <c r="S327" s="1" t="str">
        <f t="shared" si="5"/>
        <v>B</v>
      </c>
    </row>
    <row r="328" spans="1:19" x14ac:dyDescent="0.55000000000000004">
      <c r="A328" s="1" t="e">
        <f>IF(#REF!="","",#REF!)</f>
        <v>#REF!</v>
      </c>
      <c r="C328" s="70" t="s">
        <v>467</v>
      </c>
      <c r="D328" s="58"/>
      <c r="E328" s="59"/>
      <c r="F328" s="59"/>
      <c r="G328" s="59"/>
      <c r="H328" s="60"/>
      <c r="I328" s="32"/>
      <c r="J328" s="60"/>
      <c r="K328" s="61"/>
      <c r="L328" s="32"/>
      <c r="M328" s="65"/>
      <c r="N328" s="63"/>
      <c r="O328" s="64"/>
      <c r="P328" s="71"/>
      <c r="Q328" s="72"/>
      <c r="S328" s="1" t="str">
        <f t="shared" si="5"/>
        <v>B</v>
      </c>
    </row>
    <row r="329" spans="1:19" x14ac:dyDescent="0.55000000000000004">
      <c r="A329" s="1" t="e">
        <f>IF(#REF!="","",#REF!)</f>
        <v>#REF!</v>
      </c>
      <c r="C329" s="70" t="s">
        <v>468</v>
      </c>
      <c r="D329" s="58"/>
      <c r="E329" s="59"/>
      <c r="F329" s="59"/>
      <c r="G329" s="59"/>
      <c r="H329" s="60"/>
      <c r="I329" s="32"/>
      <c r="J329" s="60"/>
      <c r="K329" s="61"/>
      <c r="L329" s="32"/>
      <c r="M329" s="65"/>
      <c r="N329" s="63"/>
      <c r="O329" s="64"/>
      <c r="P329" s="71"/>
      <c r="Q329" s="72"/>
      <c r="S329" s="1" t="str">
        <f t="shared" si="5"/>
        <v>B</v>
      </c>
    </row>
    <row r="330" spans="1:19" x14ac:dyDescent="0.55000000000000004">
      <c r="A330" s="1" t="e">
        <f>IF(#REF!="","",#REF!)</f>
        <v>#REF!</v>
      </c>
      <c r="C330" s="70" t="s">
        <v>469</v>
      </c>
      <c r="D330" s="58"/>
      <c r="E330" s="59"/>
      <c r="F330" s="59"/>
      <c r="G330" s="59"/>
      <c r="H330" s="60"/>
      <c r="I330" s="32"/>
      <c r="J330" s="60"/>
      <c r="K330" s="61"/>
      <c r="L330" s="32"/>
      <c r="M330" s="65"/>
      <c r="N330" s="63"/>
      <c r="O330" s="64"/>
      <c r="P330" s="71"/>
      <c r="Q330" s="72"/>
      <c r="S330" s="1" t="str">
        <f t="shared" si="5"/>
        <v>B</v>
      </c>
    </row>
    <row r="331" spans="1:19" x14ac:dyDescent="0.55000000000000004">
      <c r="A331" s="1" t="e">
        <f>IF(#REF!="","",#REF!)</f>
        <v>#REF!</v>
      </c>
      <c r="C331" s="70" t="s">
        <v>470</v>
      </c>
      <c r="D331" s="58"/>
      <c r="E331" s="59"/>
      <c r="F331" s="59"/>
      <c r="G331" s="59"/>
      <c r="H331" s="60"/>
      <c r="I331" s="32"/>
      <c r="J331" s="60"/>
      <c r="K331" s="61"/>
      <c r="L331" s="32"/>
      <c r="M331" s="65"/>
      <c r="N331" s="63"/>
      <c r="O331" s="64"/>
      <c r="P331" s="71"/>
      <c r="Q331" s="72"/>
      <c r="S331" s="1" t="str">
        <f t="shared" si="5"/>
        <v>B</v>
      </c>
    </row>
    <row r="332" spans="1:19" x14ac:dyDescent="0.55000000000000004">
      <c r="A332" s="1" t="e">
        <f>IF(#REF!="","",#REF!)</f>
        <v>#REF!</v>
      </c>
      <c r="C332" s="70" t="s">
        <v>471</v>
      </c>
      <c r="D332" s="58"/>
      <c r="E332" s="59"/>
      <c r="F332" s="59"/>
      <c r="G332" s="59"/>
      <c r="H332" s="60"/>
      <c r="I332" s="32"/>
      <c r="J332" s="60"/>
      <c r="K332" s="61"/>
      <c r="L332" s="32"/>
      <c r="M332" s="65"/>
      <c r="N332" s="63"/>
      <c r="O332" s="64"/>
      <c r="P332" s="71"/>
      <c r="Q332" s="72"/>
      <c r="S332" s="1" t="str">
        <f t="shared" si="5"/>
        <v>B</v>
      </c>
    </row>
    <row r="333" spans="1:19" x14ac:dyDescent="0.55000000000000004">
      <c r="A333" s="1" t="e">
        <f>IF(#REF!="","",#REF!)</f>
        <v>#REF!</v>
      </c>
      <c r="C333" s="70" t="s">
        <v>472</v>
      </c>
      <c r="D333" s="58"/>
      <c r="E333" s="59"/>
      <c r="F333" s="59"/>
      <c r="G333" s="59"/>
      <c r="H333" s="60"/>
      <c r="I333" s="32"/>
      <c r="J333" s="60"/>
      <c r="K333" s="61"/>
      <c r="L333" s="32"/>
      <c r="M333" s="65"/>
      <c r="N333" s="63"/>
      <c r="O333" s="64"/>
      <c r="P333" s="71"/>
      <c r="Q333" s="72"/>
      <c r="S333" s="1" t="str">
        <f t="shared" si="5"/>
        <v>B</v>
      </c>
    </row>
    <row r="334" spans="1:19" x14ac:dyDescent="0.55000000000000004">
      <c r="A334" s="1" t="e">
        <f>IF(#REF!="","",#REF!)</f>
        <v>#REF!</v>
      </c>
      <c r="C334" s="70" t="s">
        <v>473</v>
      </c>
      <c r="D334" s="58"/>
      <c r="E334" s="59"/>
      <c r="F334" s="59"/>
      <c r="G334" s="59"/>
      <c r="H334" s="60"/>
      <c r="I334" s="32"/>
      <c r="J334" s="60"/>
      <c r="K334" s="61"/>
      <c r="L334" s="32"/>
      <c r="M334" s="65"/>
      <c r="N334" s="63"/>
      <c r="O334" s="64"/>
      <c r="P334" s="71"/>
      <c r="Q334" s="72"/>
      <c r="S334" s="1" t="str">
        <f t="shared" si="5"/>
        <v>B</v>
      </c>
    </row>
    <row r="335" spans="1:19" x14ac:dyDescent="0.55000000000000004">
      <c r="A335" s="1" t="e">
        <f>IF(#REF!="","",#REF!)</f>
        <v>#REF!</v>
      </c>
      <c r="C335" s="70" t="s">
        <v>474</v>
      </c>
      <c r="D335" s="58"/>
      <c r="E335" s="59"/>
      <c r="F335" s="59"/>
      <c r="G335" s="59"/>
      <c r="H335" s="60"/>
      <c r="I335" s="32"/>
      <c r="J335" s="60"/>
      <c r="K335" s="61"/>
      <c r="L335" s="32"/>
      <c r="M335" s="65"/>
      <c r="N335" s="63"/>
      <c r="O335" s="64"/>
      <c r="P335" s="71"/>
      <c r="Q335" s="72"/>
      <c r="S335" s="1" t="str">
        <f t="shared" si="5"/>
        <v>B</v>
      </c>
    </row>
    <row r="336" spans="1:19" x14ac:dyDescent="0.55000000000000004">
      <c r="A336" s="1" t="e">
        <f>IF(#REF!="","",#REF!)</f>
        <v>#REF!</v>
      </c>
      <c r="C336" s="70" t="s">
        <v>475</v>
      </c>
      <c r="D336" s="58"/>
      <c r="E336" s="59"/>
      <c r="F336" s="59"/>
      <c r="G336" s="59"/>
      <c r="H336" s="60"/>
      <c r="I336" s="32"/>
      <c r="J336" s="60"/>
      <c r="K336" s="61"/>
      <c r="L336" s="32"/>
      <c r="M336" s="65"/>
      <c r="N336" s="63"/>
      <c r="O336" s="64"/>
      <c r="P336" s="71"/>
      <c r="Q336" s="72"/>
      <c r="S336" s="1" t="str">
        <f t="shared" si="5"/>
        <v>B</v>
      </c>
    </row>
    <row r="337" spans="1:19" x14ac:dyDescent="0.55000000000000004">
      <c r="A337" s="1" t="e">
        <f>IF(#REF!="","",#REF!)</f>
        <v>#REF!</v>
      </c>
      <c r="C337" s="70" t="s">
        <v>476</v>
      </c>
      <c r="D337" s="58"/>
      <c r="E337" s="59"/>
      <c r="F337" s="59"/>
      <c r="G337" s="59"/>
      <c r="H337" s="60"/>
      <c r="I337" s="32"/>
      <c r="J337" s="60"/>
      <c r="K337" s="61"/>
      <c r="L337" s="32"/>
      <c r="M337" s="65"/>
      <c r="N337" s="63"/>
      <c r="O337" s="64"/>
      <c r="P337" s="71"/>
      <c r="Q337" s="72"/>
      <c r="S337" s="1" t="str">
        <f t="shared" si="5"/>
        <v>B</v>
      </c>
    </row>
    <row r="338" spans="1:19" x14ac:dyDescent="0.55000000000000004">
      <c r="A338" s="1" t="e">
        <f>IF(#REF!="","",#REF!)</f>
        <v>#REF!</v>
      </c>
      <c r="C338" s="70" t="s">
        <v>477</v>
      </c>
      <c r="D338" s="58"/>
      <c r="E338" s="59"/>
      <c r="F338" s="59"/>
      <c r="G338" s="59"/>
      <c r="H338" s="60"/>
      <c r="I338" s="32"/>
      <c r="J338" s="60"/>
      <c r="K338" s="61"/>
      <c r="L338" s="32"/>
      <c r="M338" s="65"/>
      <c r="N338" s="63"/>
      <c r="O338" s="64"/>
      <c r="P338" s="71"/>
      <c r="Q338" s="72"/>
      <c r="S338" s="1" t="str">
        <f t="shared" si="5"/>
        <v>B</v>
      </c>
    </row>
    <row r="339" spans="1:19" x14ac:dyDescent="0.55000000000000004">
      <c r="A339" s="1" t="e">
        <f>IF(#REF!="","",#REF!)</f>
        <v>#REF!</v>
      </c>
      <c r="C339" s="70" t="s">
        <v>478</v>
      </c>
      <c r="D339" s="58"/>
      <c r="E339" s="59"/>
      <c r="F339" s="59"/>
      <c r="G339" s="59"/>
      <c r="H339" s="60"/>
      <c r="I339" s="32"/>
      <c r="J339" s="60"/>
      <c r="K339" s="61"/>
      <c r="L339" s="32"/>
      <c r="M339" s="65"/>
      <c r="N339" s="63"/>
      <c r="O339" s="64"/>
      <c r="P339" s="71"/>
      <c r="Q339" s="72"/>
      <c r="S339" s="1" t="str">
        <f t="shared" si="5"/>
        <v>B</v>
      </c>
    </row>
    <row r="340" spans="1:19" x14ac:dyDescent="0.55000000000000004">
      <c r="A340" s="1" t="e">
        <f>IF(#REF!="","",#REF!)</f>
        <v>#REF!</v>
      </c>
      <c r="C340" s="70" t="s">
        <v>479</v>
      </c>
      <c r="D340" s="58"/>
      <c r="E340" s="59"/>
      <c r="F340" s="59"/>
      <c r="G340" s="59"/>
      <c r="H340" s="60"/>
      <c r="I340" s="32"/>
      <c r="J340" s="60"/>
      <c r="K340" s="61"/>
      <c r="L340" s="32"/>
      <c r="M340" s="65"/>
      <c r="N340" s="63"/>
      <c r="O340" s="64"/>
      <c r="P340" s="71"/>
      <c r="Q340" s="72"/>
      <c r="S340" s="1" t="str">
        <f t="shared" si="5"/>
        <v>B</v>
      </c>
    </row>
    <row r="341" spans="1:19" x14ac:dyDescent="0.55000000000000004">
      <c r="A341" s="1" t="e">
        <f>IF(#REF!="","",#REF!)</f>
        <v>#REF!</v>
      </c>
      <c r="C341" s="70" t="s">
        <v>480</v>
      </c>
      <c r="D341" s="58"/>
      <c r="E341" s="59"/>
      <c r="F341" s="59"/>
      <c r="G341" s="59"/>
      <c r="H341" s="60"/>
      <c r="I341" s="32"/>
      <c r="J341" s="60"/>
      <c r="K341" s="61"/>
      <c r="L341" s="32"/>
      <c r="M341" s="65"/>
      <c r="N341" s="63"/>
      <c r="O341" s="64"/>
      <c r="P341" s="71"/>
      <c r="Q341" s="72"/>
      <c r="S341" s="1" t="str">
        <f t="shared" si="5"/>
        <v>B</v>
      </c>
    </row>
    <row r="342" spans="1:19" x14ac:dyDescent="0.55000000000000004">
      <c r="A342" s="1" t="e">
        <f>IF(#REF!="","",#REF!)</f>
        <v>#REF!</v>
      </c>
      <c r="C342" s="70" t="s">
        <v>481</v>
      </c>
      <c r="D342" s="58"/>
      <c r="E342" s="59"/>
      <c r="F342" s="59"/>
      <c r="G342" s="59"/>
      <c r="H342" s="60"/>
      <c r="I342" s="32"/>
      <c r="J342" s="60"/>
      <c r="K342" s="61"/>
      <c r="L342" s="32"/>
      <c r="M342" s="65"/>
      <c r="N342" s="63"/>
      <c r="O342" s="64"/>
      <c r="P342" s="71"/>
      <c r="Q342" s="72"/>
      <c r="S342" s="1" t="str">
        <f t="shared" si="5"/>
        <v>B</v>
      </c>
    </row>
    <row r="343" spans="1:19" x14ac:dyDescent="0.55000000000000004">
      <c r="A343" s="1" t="e">
        <f>IF(#REF!="","",#REF!)</f>
        <v>#REF!</v>
      </c>
      <c r="C343" s="70" t="s">
        <v>482</v>
      </c>
      <c r="D343" s="58"/>
      <c r="E343" s="59"/>
      <c r="F343" s="59"/>
      <c r="G343" s="59"/>
      <c r="H343" s="60"/>
      <c r="I343" s="32"/>
      <c r="J343" s="60"/>
      <c r="K343" s="61"/>
      <c r="L343" s="32"/>
      <c r="M343" s="65"/>
      <c r="N343" s="63"/>
      <c r="O343" s="64"/>
      <c r="P343" s="71"/>
      <c r="Q343" s="72"/>
      <c r="S343" s="1" t="str">
        <f t="shared" si="5"/>
        <v>B</v>
      </c>
    </row>
    <row r="344" spans="1:19" x14ac:dyDescent="0.55000000000000004">
      <c r="A344" s="1" t="e">
        <f>IF(#REF!="","",#REF!)</f>
        <v>#REF!</v>
      </c>
      <c r="C344" s="70" t="s">
        <v>483</v>
      </c>
      <c r="D344" s="58"/>
      <c r="E344" s="59"/>
      <c r="F344" s="59"/>
      <c r="G344" s="59"/>
      <c r="H344" s="60"/>
      <c r="I344" s="32"/>
      <c r="J344" s="60"/>
      <c r="K344" s="61"/>
      <c r="L344" s="32"/>
      <c r="M344" s="65"/>
      <c r="N344" s="63"/>
      <c r="O344" s="64"/>
      <c r="P344" s="71"/>
      <c r="Q344" s="72"/>
      <c r="S344" s="1" t="str">
        <f t="shared" si="5"/>
        <v>B</v>
      </c>
    </row>
    <row r="345" spans="1:19" x14ac:dyDescent="0.55000000000000004">
      <c r="A345" s="1" t="e">
        <f>IF(#REF!="","",#REF!)</f>
        <v>#REF!</v>
      </c>
      <c r="C345" s="70" t="s">
        <v>484</v>
      </c>
      <c r="D345" s="58"/>
      <c r="E345" s="59"/>
      <c r="F345" s="59"/>
      <c r="G345" s="59"/>
      <c r="H345" s="60"/>
      <c r="I345" s="32"/>
      <c r="J345" s="60"/>
      <c r="K345" s="61"/>
      <c r="L345" s="32"/>
      <c r="M345" s="65"/>
      <c r="N345" s="63"/>
      <c r="O345" s="64"/>
      <c r="P345" s="71"/>
      <c r="Q345" s="72"/>
      <c r="S345" s="1" t="str">
        <f t="shared" si="5"/>
        <v>B</v>
      </c>
    </row>
    <row r="346" spans="1:19" x14ac:dyDescent="0.55000000000000004">
      <c r="A346" s="1" t="e">
        <f>IF(#REF!="","",#REF!)</f>
        <v>#REF!</v>
      </c>
      <c r="C346" s="70" t="s">
        <v>485</v>
      </c>
      <c r="D346" s="58"/>
      <c r="E346" s="59"/>
      <c r="F346" s="59"/>
      <c r="G346" s="59"/>
      <c r="H346" s="60"/>
      <c r="I346" s="32"/>
      <c r="J346" s="60"/>
      <c r="K346" s="61"/>
      <c r="L346" s="32"/>
      <c r="M346" s="65"/>
      <c r="N346" s="63"/>
      <c r="O346" s="64"/>
      <c r="P346" s="71"/>
      <c r="Q346" s="72"/>
      <c r="S346" s="1" t="str">
        <f t="shared" si="5"/>
        <v>B</v>
      </c>
    </row>
    <row r="347" spans="1:19" x14ac:dyDescent="0.55000000000000004">
      <c r="A347" s="1" t="e">
        <f>IF(#REF!="","",#REF!)</f>
        <v>#REF!</v>
      </c>
      <c r="C347" s="70" t="s">
        <v>486</v>
      </c>
      <c r="D347" s="58"/>
      <c r="E347" s="59"/>
      <c r="F347" s="59"/>
      <c r="G347" s="59"/>
      <c r="H347" s="60"/>
      <c r="I347" s="32"/>
      <c r="J347" s="60"/>
      <c r="K347" s="61"/>
      <c r="L347" s="32"/>
      <c r="M347" s="65"/>
      <c r="N347" s="63"/>
      <c r="O347" s="64"/>
      <c r="P347" s="71"/>
      <c r="Q347" s="72"/>
      <c r="S347" s="1" t="str">
        <f t="shared" si="5"/>
        <v>B</v>
      </c>
    </row>
    <row r="348" spans="1:19" x14ac:dyDescent="0.55000000000000004">
      <c r="A348" s="1" t="e">
        <f>IF(#REF!="","",#REF!)</f>
        <v>#REF!</v>
      </c>
      <c r="C348" s="70" t="s">
        <v>487</v>
      </c>
      <c r="D348" s="58"/>
      <c r="E348" s="59"/>
      <c r="F348" s="59"/>
      <c r="G348" s="59"/>
      <c r="H348" s="60"/>
      <c r="I348" s="32"/>
      <c r="J348" s="60"/>
      <c r="K348" s="61"/>
      <c r="L348" s="32"/>
      <c r="M348" s="65"/>
      <c r="N348" s="63"/>
      <c r="O348" s="64"/>
      <c r="P348" s="71"/>
      <c r="Q348" s="72"/>
      <c r="S348" s="1" t="str">
        <f t="shared" si="5"/>
        <v>B</v>
      </c>
    </row>
    <row r="349" spans="1:19" x14ac:dyDescent="0.55000000000000004">
      <c r="A349" s="1" t="e">
        <f>IF(#REF!="","",#REF!)</f>
        <v>#REF!</v>
      </c>
      <c r="C349" s="70" t="s">
        <v>488</v>
      </c>
      <c r="D349" s="58"/>
      <c r="E349" s="59"/>
      <c r="F349" s="59"/>
      <c r="G349" s="59"/>
      <c r="H349" s="60"/>
      <c r="I349" s="32"/>
      <c r="J349" s="60"/>
      <c r="K349" s="61"/>
      <c r="L349" s="32"/>
      <c r="M349" s="65"/>
      <c r="N349" s="63"/>
      <c r="O349" s="64"/>
      <c r="P349" s="71"/>
      <c r="Q349" s="72"/>
      <c r="S349" s="1" t="str">
        <f t="shared" si="5"/>
        <v>B</v>
      </c>
    </row>
    <row r="350" spans="1:19" x14ac:dyDescent="0.55000000000000004">
      <c r="A350" s="1" t="e">
        <f>IF(#REF!="","",#REF!)</f>
        <v>#REF!</v>
      </c>
      <c r="C350" s="70" t="s">
        <v>489</v>
      </c>
      <c r="D350" s="58"/>
      <c r="E350" s="59"/>
      <c r="F350" s="59"/>
      <c r="G350" s="59"/>
      <c r="H350" s="60"/>
      <c r="I350" s="32"/>
      <c r="J350" s="60"/>
      <c r="K350" s="61"/>
      <c r="L350" s="32"/>
      <c r="M350" s="65"/>
      <c r="N350" s="63"/>
      <c r="O350" s="64"/>
      <c r="P350" s="71"/>
      <c r="Q350" s="72"/>
      <c r="S350" s="1" t="str">
        <f t="shared" si="5"/>
        <v>B</v>
      </c>
    </row>
    <row r="351" spans="1:19" x14ac:dyDescent="0.55000000000000004">
      <c r="A351" s="1" t="e">
        <f>IF(#REF!="","",#REF!)</f>
        <v>#REF!</v>
      </c>
      <c r="C351" s="70" t="s">
        <v>490</v>
      </c>
      <c r="D351" s="58"/>
      <c r="E351" s="59"/>
      <c r="F351" s="59"/>
      <c r="G351" s="59"/>
      <c r="H351" s="60"/>
      <c r="I351" s="32"/>
      <c r="J351" s="60"/>
      <c r="K351" s="61"/>
      <c r="L351" s="32"/>
      <c r="M351" s="65"/>
      <c r="N351" s="63"/>
      <c r="O351" s="64"/>
      <c r="P351" s="71"/>
      <c r="Q351" s="72"/>
      <c r="S351" s="1" t="str">
        <f t="shared" si="5"/>
        <v>B</v>
      </c>
    </row>
    <row r="352" spans="1:19" x14ac:dyDescent="0.55000000000000004">
      <c r="A352" s="1" t="e">
        <f>IF(#REF!="","",#REF!)</f>
        <v>#REF!</v>
      </c>
      <c r="C352" s="70" t="s">
        <v>491</v>
      </c>
      <c r="D352" s="58"/>
      <c r="E352" s="59"/>
      <c r="F352" s="59"/>
      <c r="G352" s="59"/>
      <c r="H352" s="60"/>
      <c r="I352" s="32"/>
      <c r="J352" s="60"/>
      <c r="K352" s="61"/>
      <c r="L352" s="32"/>
      <c r="M352" s="65"/>
      <c r="N352" s="63"/>
      <c r="O352" s="64"/>
      <c r="P352" s="71"/>
      <c r="Q352" s="72"/>
      <c r="S352" s="1" t="str">
        <f t="shared" si="5"/>
        <v>B</v>
      </c>
    </row>
    <row r="353" spans="1:19" x14ac:dyDescent="0.55000000000000004">
      <c r="A353" s="1" t="e">
        <f>IF(#REF!="","",#REF!)</f>
        <v>#REF!</v>
      </c>
      <c r="C353" s="70" t="s">
        <v>492</v>
      </c>
      <c r="D353" s="58"/>
      <c r="E353" s="59"/>
      <c r="F353" s="59"/>
      <c r="G353" s="59"/>
      <c r="H353" s="60"/>
      <c r="I353" s="32"/>
      <c r="J353" s="60"/>
      <c r="K353" s="61"/>
      <c r="L353" s="32"/>
      <c r="M353" s="65"/>
      <c r="N353" s="63"/>
      <c r="O353" s="64"/>
      <c r="P353" s="71"/>
      <c r="Q353" s="72"/>
      <c r="S353" s="1" t="str">
        <f t="shared" si="5"/>
        <v>B</v>
      </c>
    </row>
    <row r="354" spans="1:19" x14ac:dyDescent="0.55000000000000004">
      <c r="A354" s="1" t="e">
        <f>IF(#REF!="","",#REF!)</f>
        <v>#REF!</v>
      </c>
      <c r="C354" s="70" t="s">
        <v>493</v>
      </c>
      <c r="D354" s="58"/>
      <c r="E354" s="59"/>
      <c r="F354" s="59"/>
      <c r="G354" s="59"/>
      <c r="H354" s="60"/>
      <c r="I354" s="32"/>
      <c r="J354" s="60"/>
      <c r="K354" s="61"/>
      <c r="L354" s="32"/>
      <c r="M354" s="65"/>
      <c r="N354" s="63"/>
      <c r="O354" s="64"/>
      <c r="P354" s="71"/>
      <c r="Q354" s="72"/>
      <c r="S354" s="1" t="str">
        <f t="shared" si="5"/>
        <v>B</v>
      </c>
    </row>
    <row r="355" spans="1:19" x14ac:dyDescent="0.55000000000000004">
      <c r="A355" s="1" t="e">
        <f>IF(#REF!="","",#REF!)</f>
        <v>#REF!</v>
      </c>
      <c r="C355" s="70" t="s">
        <v>494</v>
      </c>
      <c r="D355" s="58"/>
      <c r="E355" s="59"/>
      <c r="F355" s="59"/>
      <c r="G355" s="59"/>
      <c r="H355" s="60"/>
      <c r="I355" s="32"/>
      <c r="J355" s="60"/>
      <c r="K355" s="61"/>
      <c r="L355" s="32"/>
      <c r="M355" s="65"/>
      <c r="N355" s="63"/>
      <c r="O355" s="64"/>
      <c r="P355" s="71"/>
      <c r="Q355" s="72"/>
      <c r="S355" s="1" t="str">
        <f t="shared" si="5"/>
        <v>B</v>
      </c>
    </row>
    <row r="356" spans="1:19" x14ac:dyDescent="0.55000000000000004">
      <c r="A356" s="1" t="e">
        <f>IF(#REF!="","",#REF!)</f>
        <v>#REF!</v>
      </c>
      <c r="C356" s="70" t="s">
        <v>495</v>
      </c>
      <c r="D356" s="58"/>
      <c r="E356" s="59"/>
      <c r="F356" s="59"/>
      <c r="G356" s="59"/>
      <c r="H356" s="60"/>
      <c r="I356" s="32"/>
      <c r="J356" s="60"/>
      <c r="K356" s="61"/>
      <c r="L356" s="32"/>
      <c r="M356" s="65"/>
      <c r="N356" s="63"/>
      <c r="O356" s="64"/>
      <c r="P356" s="71"/>
      <c r="Q356" s="72"/>
      <c r="S356" s="1" t="str">
        <f t="shared" si="5"/>
        <v>B</v>
      </c>
    </row>
    <row r="357" spans="1:19" x14ac:dyDescent="0.55000000000000004">
      <c r="A357" s="1" t="e">
        <f>IF(#REF!="","",#REF!)</f>
        <v>#REF!</v>
      </c>
      <c r="C357" s="70" t="s">
        <v>496</v>
      </c>
      <c r="D357" s="58"/>
      <c r="E357" s="59"/>
      <c r="F357" s="59"/>
      <c r="G357" s="59"/>
      <c r="H357" s="60"/>
      <c r="I357" s="32"/>
      <c r="J357" s="60"/>
      <c r="K357" s="61"/>
      <c r="L357" s="32"/>
      <c r="M357" s="65"/>
      <c r="N357" s="63"/>
      <c r="O357" s="64"/>
      <c r="P357" s="71"/>
      <c r="Q357" s="72"/>
      <c r="S357" s="1" t="str">
        <f t="shared" si="5"/>
        <v>B</v>
      </c>
    </row>
    <row r="358" spans="1:19" x14ac:dyDescent="0.55000000000000004">
      <c r="A358" s="1" t="e">
        <f>IF(#REF!="","",#REF!)</f>
        <v>#REF!</v>
      </c>
      <c r="C358" s="70" t="s">
        <v>497</v>
      </c>
      <c r="D358" s="58"/>
      <c r="E358" s="59"/>
      <c r="F358" s="59"/>
      <c r="G358" s="59"/>
      <c r="H358" s="60"/>
      <c r="I358" s="32"/>
      <c r="J358" s="60"/>
      <c r="K358" s="61"/>
      <c r="L358" s="32"/>
      <c r="M358" s="65"/>
      <c r="N358" s="63"/>
      <c r="O358" s="64"/>
      <c r="P358" s="71"/>
      <c r="Q358" s="72"/>
      <c r="S358" s="1" t="str">
        <f t="shared" si="5"/>
        <v>B</v>
      </c>
    </row>
    <row r="359" spans="1:19" x14ac:dyDescent="0.55000000000000004">
      <c r="A359" s="1" t="e">
        <f>IF(#REF!="","",#REF!)</f>
        <v>#REF!</v>
      </c>
      <c r="C359" s="70" t="s">
        <v>498</v>
      </c>
      <c r="D359" s="58"/>
      <c r="E359" s="59"/>
      <c r="F359" s="59"/>
      <c r="G359" s="59"/>
      <c r="H359" s="60"/>
      <c r="I359" s="32"/>
      <c r="J359" s="60"/>
      <c r="K359" s="61"/>
      <c r="L359" s="32"/>
      <c r="M359" s="65"/>
      <c r="N359" s="63"/>
      <c r="O359" s="64"/>
      <c r="P359" s="71"/>
      <c r="Q359" s="72"/>
      <c r="S359" s="1" t="str">
        <f t="shared" si="5"/>
        <v>B</v>
      </c>
    </row>
    <row r="360" spans="1:19" x14ac:dyDescent="0.55000000000000004">
      <c r="A360" s="1" t="e">
        <f>IF(#REF!="","",#REF!)</f>
        <v>#REF!</v>
      </c>
      <c r="C360" s="70" t="s">
        <v>499</v>
      </c>
      <c r="D360" s="58"/>
      <c r="E360" s="59"/>
      <c r="F360" s="59"/>
      <c r="G360" s="59"/>
      <c r="H360" s="60"/>
      <c r="I360" s="32"/>
      <c r="J360" s="60"/>
      <c r="K360" s="61"/>
      <c r="L360" s="32"/>
      <c r="M360" s="65"/>
      <c r="N360" s="63"/>
      <c r="O360" s="64"/>
      <c r="P360" s="71"/>
      <c r="Q360" s="72"/>
      <c r="S360" s="1" t="str">
        <f t="shared" si="5"/>
        <v>B</v>
      </c>
    </row>
    <row r="361" spans="1:19" x14ac:dyDescent="0.55000000000000004">
      <c r="A361" s="1" t="e">
        <f>IF(#REF!="","",#REF!)</f>
        <v>#REF!</v>
      </c>
      <c r="C361" s="70" t="s">
        <v>500</v>
      </c>
      <c r="D361" s="58"/>
      <c r="E361" s="59"/>
      <c r="F361" s="59"/>
      <c r="G361" s="59"/>
      <c r="H361" s="60"/>
      <c r="I361" s="32"/>
      <c r="J361" s="60"/>
      <c r="K361" s="61"/>
      <c r="L361" s="32"/>
      <c r="M361" s="65"/>
      <c r="N361" s="63"/>
      <c r="O361" s="64"/>
      <c r="P361" s="71"/>
      <c r="Q361" s="72"/>
      <c r="S361" s="1" t="str">
        <f t="shared" si="5"/>
        <v>B</v>
      </c>
    </row>
    <row r="362" spans="1:19" x14ac:dyDescent="0.55000000000000004">
      <c r="A362" s="1" t="e">
        <f>IF(#REF!="","",#REF!)</f>
        <v>#REF!</v>
      </c>
      <c r="C362" s="70" t="s">
        <v>501</v>
      </c>
      <c r="D362" s="58"/>
      <c r="E362" s="59"/>
      <c r="F362" s="59"/>
      <c r="G362" s="59"/>
      <c r="H362" s="60"/>
      <c r="I362" s="32"/>
      <c r="J362" s="60"/>
      <c r="K362" s="61"/>
      <c r="L362" s="32"/>
      <c r="M362" s="65"/>
      <c r="N362" s="63"/>
      <c r="O362" s="64"/>
      <c r="P362" s="71"/>
      <c r="Q362" s="72"/>
      <c r="S362" s="1" t="str">
        <f t="shared" ref="S362:S425" si="6">IF(E362="キャンセル","",IF(G362="故障","A",IF(G362="紛失・盗難","A",IF(G362="キッティング","A","B"))))</f>
        <v>B</v>
      </c>
    </row>
    <row r="363" spans="1:19" x14ac:dyDescent="0.55000000000000004">
      <c r="A363" s="1" t="e">
        <f>IF(#REF!="","",#REF!)</f>
        <v>#REF!</v>
      </c>
      <c r="C363" s="70" t="s">
        <v>502</v>
      </c>
      <c r="D363" s="58"/>
      <c r="E363" s="59"/>
      <c r="F363" s="59"/>
      <c r="G363" s="59"/>
      <c r="H363" s="60"/>
      <c r="I363" s="32"/>
      <c r="J363" s="60"/>
      <c r="K363" s="61"/>
      <c r="L363" s="32"/>
      <c r="M363" s="65"/>
      <c r="N363" s="63"/>
      <c r="O363" s="64"/>
      <c r="P363" s="71"/>
      <c r="Q363" s="72"/>
      <c r="S363" s="1" t="str">
        <f t="shared" si="6"/>
        <v>B</v>
      </c>
    </row>
    <row r="364" spans="1:19" x14ac:dyDescent="0.55000000000000004">
      <c r="A364" s="1" t="e">
        <f>IF(#REF!="","",#REF!)</f>
        <v>#REF!</v>
      </c>
      <c r="C364" s="70" t="s">
        <v>503</v>
      </c>
      <c r="D364" s="58"/>
      <c r="E364" s="59"/>
      <c r="F364" s="59"/>
      <c r="G364" s="59"/>
      <c r="H364" s="60"/>
      <c r="I364" s="32"/>
      <c r="J364" s="60"/>
      <c r="K364" s="61"/>
      <c r="L364" s="32"/>
      <c r="M364" s="65"/>
      <c r="N364" s="63"/>
      <c r="O364" s="64"/>
      <c r="P364" s="71"/>
      <c r="Q364" s="72"/>
      <c r="S364" s="1" t="str">
        <f t="shared" si="6"/>
        <v>B</v>
      </c>
    </row>
    <row r="365" spans="1:19" x14ac:dyDescent="0.55000000000000004">
      <c r="A365" s="1" t="e">
        <f>IF(#REF!="","",#REF!)</f>
        <v>#REF!</v>
      </c>
      <c r="C365" s="70" t="s">
        <v>504</v>
      </c>
      <c r="D365" s="58"/>
      <c r="E365" s="59"/>
      <c r="F365" s="59"/>
      <c r="G365" s="59"/>
      <c r="H365" s="60"/>
      <c r="I365" s="32"/>
      <c r="J365" s="60"/>
      <c r="K365" s="61"/>
      <c r="L365" s="32"/>
      <c r="M365" s="65"/>
      <c r="N365" s="63"/>
      <c r="O365" s="64"/>
      <c r="P365" s="71"/>
      <c r="Q365" s="72"/>
      <c r="S365" s="1" t="str">
        <f t="shared" si="6"/>
        <v>B</v>
      </c>
    </row>
    <row r="366" spans="1:19" x14ac:dyDescent="0.55000000000000004">
      <c r="A366" s="1" t="e">
        <f>IF(#REF!="","",#REF!)</f>
        <v>#REF!</v>
      </c>
      <c r="C366" s="70" t="s">
        <v>505</v>
      </c>
      <c r="D366" s="58"/>
      <c r="E366" s="59"/>
      <c r="F366" s="59"/>
      <c r="G366" s="59"/>
      <c r="H366" s="60"/>
      <c r="I366" s="32"/>
      <c r="J366" s="60"/>
      <c r="K366" s="61"/>
      <c r="L366" s="32"/>
      <c r="M366" s="65"/>
      <c r="N366" s="63"/>
      <c r="O366" s="64"/>
      <c r="P366" s="71"/>
      <c r="Q366" s="72"/>
      <c r="S366" s="1" t="str">
        <f t="shared" si="6"/>
        <v>B</v>
      </c>
    </row>
    <row r="367" spans="1:19" x14ac:dyDescent="0.55000000000000004">
      <c r="A367" s="1" t="e">
        <f>IF(#REF!="","",#REF!)</f>
        <v>#REF!</v>
      </c>
      <c r="C367" s="70" t="s">
        <v>506</v>
      </c>
      <c r="D367" s="58"/>
      <c r="E367" s="59"/>
      <c r="F367" s="59"/>
      <c r="G367" s="59"/>
      <c r="H367" s="60"/>
      <c r="I367" s="32"/>
      <c r="J367" s="60"/>
      <c r="K367" s="61"/>
      <c r="L367" s="32"/>
      <c r="M367" s="65"/>
      <c r="N367" s="63"/>
      <c r="O367" s="64"/>
      <c r="P367" s="71"/>
      <c r="Q367" s="72"/>
      <c r="S367" s="1" t="str">
        <f t="shared" si="6"/>
        <v>B</v>
      </c>
    </row>
    <row r="368" spans="1:19" x14ac:dyDescent="0.55000000000000004">
      <c r="A368" s="1" t="e">
        <f>IF(#REF!="","",#REF!)</f>
        <v>#REF!</v>
      </c>
      <c r="C368" s="70" t="s">
        <v>507</v>
      </c>
      <c r="D368" s="58"/>
      <c r="E368" s="59"/>
      <c r="F368" s="59"/>
      <c r="G368" s="59"/>
      <c r="H368" s="60"/>
      <c r="I368" s="32"/>
      <c r="J368" s="60"/>
      <c r="K368" s="61"/>
      <c r="L368" s="32"/>
      <c r="M368" s="65"/>
      <c r="N368" s="63"/>
      <c r="O368" s="64"/>
      <c r="P368" s="71"/>
      <c r="Q368" s="72"/>
      <c r="S368" s="1" t="str">
        <f t="shared" si="6"/>
        <v>B</v>
      </c>
    </row>
    <row r="369" spans="1:19" x14ac:dyDescent="0.55000000000000004">
      <c r="A369" s="1" t="e">
        <f>IF(#REF!="","",#REF!)</f>
        <v>#REF!</v>
      </c>
      <c r="C369" s="70" t="s">
        <v>508</v>
      </c>
      <c r="D369" s="58"/>
      <c r="E369" s="59"/>
      <c r="F369" s="59"/>
      <c r="G369" s="59"/>
      <c r="H369" s="60"/>
      <c r="I369" s="32"/>
      <c r="J369" s="60"/>
      <c r="K369" s="61"/>
      <c r="L369" s="32"/>
      <c r="M369" s="65"/>
      <c r="N369" s="63"/>
      <c r="O369" s="64"/>
      <c r="P369" s="71"/>
      <c r="Q369" s="72"/>
      <c r="S369" s="1" t="str">
        <f t="shared" si="6"/>
        <v>B</v>
      </c>
    </row>
    <row r="370" spans="1:19" x14ac:dyDescent="0.55000000000000004">
      <c r="A370" s="1" t="e">
        <f>IF(#REF!="","",#REF!)</f>
        <v>#REF!</v>
      </c>
      <c r="C370" s="70" t="s">
        <v>509</v>
      </c>
      <c r="D370" s="58"/>
      <c r="E370" s="59"/>
      <c r="F370" s="59"/>
      <c r="G370" s="59"/>
      <c r="H370" s="60"/>
      <c r="I370" s="32"/>
      <c r="J370" s="60"/>
      <c r="K370" s="61"/>
      <c r="L370" s="32"/>
      <c r="M370" s="65"/>
      <c r="N370" s="63"/>
      <c r="O370" s="64"/>
      <c r="P370" s="71"/>
      <c r="Q370" s="72"/>
      <c r="S370" s="1" t="str">
        <f t="shared" si="6"/>
        <v>B</v>
      </c>
    </row>
    <row r="371" spans="1:19" x14ac:dyDescent="0.55000000000000004">
      <c r="A371" s="1" t="e">
        <f>IF(#REF!="","",#REF!)</f>
        <v>#REF!</v>
      </c>
      <c r="C371" s="70" t="s">
        <v>510</v>
      </c>
      <c r="D371" s="58"/>
      <c r="E371" s="59"/>
      <c r="F371" s="59"/>
      <c r="G371" s="59"/>
      <c r="H371" s="60"/>
      <c r="I371" s="32"/>
      <c r="J371" s="60"/>
      <c r="K371" s="61"/>
      <c r="L371" s="32"/>
      <c r="M371" s="65"/>
      <c r="N371" s="63"/>
      <c r="O371" s="64"/>
      <c r="P371" s="71"/>
      <c r="Q371" s="72"/>
      <c r="S371" s="1" t="str">
        <f t="shared" si="6"/>
        <v>B</v>
      </c>
    </row>
    <row r="372" spans="1:19" x14ac:dyDescent="0.55000000000000004">
      <c r="A372" s="1" t="e">
        <f>IF(#REF!="","",#REF!)</f>
        <v>#REF!</v>
      </c>
      <c r="C372" s="70" t="s">
        <v>511</v>
      </c>
      <c r="D372" s="58"/>
      <c r="E372" s="59"/>
      <c r="F372" s="59"/>
      <c r="G372" s="59"/>
      <c r="H372" s="60"/>
      <c r="I372" s="32"/>
      <c r="J372" s="60"/>
      <c r="K372" s="61"/>
      <c r="L372" s="32"/>
      <c r="M372" s="65"/>
      <c r="N372" s="63"/>
      <c r="O372" s="64"/>
      <c r="P372" s="71"/>
      <c r="Q372" s="72"/>
      <c r="S372" s="1" t="str">
        <f t="shared" si="6"/>
        <v>B</v>
      </c>
    </row>
    <row r="373" spans="1:19" x14ac:dyDescent="0.55000000000000004">
      <c r="A373" s="1" t="e">
        <f>IF(#REF!="","",#REF!)</f>
        <v>#REF!</v>
      </c>
      <c r="C373" s="70" t="s">
        <v>512</v>
      </c>
      <c r="D373" s="58"/>
      <c r="E373" s="59"/>
      <c r="F373" s="59"/>
      <c r="G373" s="59"/>
      <c r="H373" s="60"/>
      <c r="I373" s="32"/>
      <c r="J373" s="60"/>
      <c r="K373" s="61"/>
      <c r="L373" s="32"/>
      <c r="M373" s="65"/>
      <c r="N373" s="63"/>
      <c r="O373" s="64"/>
      <c r="P373" s="71"/>
      <c r="Q373" s="72"/>
      <c r="S373" s="1" t="str">
        <f t="shared" si="6"/>
        <v>B</v>
      </c>
    </row>
    <row r="374" spans="1:19" x14ac:dyDescent="0.55000000000000004">
      <c r="A374" s="1" t="e">
        <f>IF(#REF!="","",#REF!)</f>
        <v>#REF!</v>
      </c>
      <c r="C374" s="70" t="s">
        <v>513</v>
      </c>
      <c r="D374" s="58"/>
      <c r="E374" s="59"/>
      <c r="F374" s="59"/>
      <c r="G374" s="59"/>
      <c r="H374" s="60"/>
      <c r="I374" s="32"/>
      <c r="J374" s="60"/>
      <c r="K374" s="61"/>
      <c r="L374" s="32"/>
      <c r="M374" s="65"/>
      <c r="N374" s="63"/>
      <c r="O374" s="64"/>
      <c r="P374" s="71"/>
      <c r="Q374" s="72"/>
      <c r="S374" s="1" t="str">
        <f t="shared" si="6"/>
        <v>B</v>
      </c>
    </row>
    <row r="375" spans="1:19" x14ac:dyDescent="0.55000000000000004">
      <c r="A375" s="1" t="e">
        <f>IF(#REF!="","",#REF!)</f>
        <v>#REF!</v>
      </c>
      <c r="C375" s="70" t="s">
        <v>514</v>
      </c>
      <c r="D375" s="58"/>
      <c r="E375" s="59"/>
      <c r="F375" s="59"/>
      <c r="G375" s="59"/>
      <c r="H375" s="60"/>
      <c r="I375" s="32"/>
      <c r="J375" s="60"/>
      <c r="K375" s="61"/>
      <c r="L375" s="32"/>
      <c r="M375" s="65"/>
      <c r="N375" s="63"/>
      <c r="O375" s="64"/>
      <c r="P375" s="71"/>
      <c r="Q375" s="72"/>
      <c r="S375" s="1" t="str">
        <f t="shared" si="6"/>
        <v>B</v>
      </c>
    </row>
    <row r="376" spans="1:19" x14ac:dyDescent="0.55000000000000004">
      <c r="A376" s="1" t="e">
        <f>IF(#REF!="","",#REF!)</f>
        <v>#REF!</v>
      </c>
      <c r="C376" s="70" t="s">
        <v>515</v>
      </c>
      <c r="D376" s="58"/>
      <c r="E376" s="59"/>
      <c r="F376" s="59"/>
      <c r="G376" s="59"/>
      <c r="H376" s="60"/>
      <c r="I376" s="32"/>
      <c r="J376" s="60"/>
      <c r="K376" s="61"/>
      <c r="L376" s="32"/>
      <c r="M376" s="65"/>
      <c r="N376" s="63"/>
      <c r="O376" s="64"/>
      <c r="P376" s="71"/>
      <c r="Q376" s="72"/>
      <c r="S376" s="1" t="str">
        <f t="shared" si="6"/>
        <v>B</v>
      </c>
    </row>
    <row r="377" spans="1:19" x14ac:dyDescent="0.55000000000000004">
      <c r="A377" s="1" t="e">
        <f>IF(#REF!="","",#REF!)</f>
        <v>#REF!</v>
      </c>
      <c r="C377" s="70" t="s">
        <v>516</v>
      </c>
      <c r="D377" s="58"/>
      <c r="E377" s="59"/>
      <c r="F377" s="59"/>
      <c r="G377" s="59"/>
      <c r="H377" s="60"/>
      <c r="I377" s="32"/>
      <c r="J377" s="60"/>
      <c r="K377" s="61"/>
      <c r="L377" s="32"/>
      <c r="M377" s="65"/>
      <c r="N377" s="63"/>
      <c r="O377" s="64"/>
      <c r="P377" s="71"/>
      <c r="Q377" s="72"/>
      <c r="S377" s="1" t="str">
        <f t="shared" si="6"/>
        <v>B</v>
      </c>
    </row>
    <row r="378" spans="1:19" x14ac:dyDescent="0.55000000000000004">
      <c r="A378" s="1" t="e">
        <f>IF(#REF!="","",#REF!)</f>
        <v>#REF!</v>
      </c>
      <c r="C378" s="70" t="s">
        <v>517</v>
      </c>
      <c r="D378" s="58"/>
      <c r="E378" s="59"/>
      <c r="F378" s="59"/>
      <c r="G378" s="59"/>
      <c r="H378" s="60"/>
      <c r="I378" s="32"/>
      <c r="J378" s="60"/>
      <c r="K378" s="61"/>
      <c r="L378" s="32"/>
      <c r="M378" s="65"/>
      <c r="N378" s="63"/>
      <c r="O378" s="64"/>
      <c r="P378" s="71"/>
      <c r="Q378" s="72"/>
      <c r="S378" s="1" t="str">
        <f t="shared" si="6"/>
        <v>B</v>
      </c>
    </row>
    <row r="379" spans="1:19" x14ac:dyDescent="0.55000000000000004">
      <c r="A379" s="1" t="e">
        <f>IF(#REF!="","",#REF!)</f>
        <v>#REF!</v>
      </c>
      <c r="C379" s="70" t="s">
        <v>518</v>
      </c>
      <c r="D379" s="58"/>
      <c r="E379" s="59"/>
      <c r="F379" s="59"/>
      <c r="G379" s="59"/>
      <c r="H379" s="60"/>
      <c r="I379" s="32"/>
      <c r="J379" s="60"/>
      <c r="K379" s="61"/>
      <c r="L379" s="32"/>
      <c r="M379" s="65"/>
      <c r="N379" s="63"/>
      <c r="O379" s="64"/>
      <c r="P379" s="71"/>
      <c r="Q379" s="72"/>
      <c r="S379" s="1" t="str">
        <f t="shared" si="6"/>
        <v>B</v>
      </c>
    </row>
    <row r="380" spans="1:19" x14ac:dyDescent="0.55000000000000004">
      <c r="A380" s="1" t="e">
        <f>IF(#REF!="","",#REF!)</f>
        <v>#REF!</v>
      </c>
      <c r="C380" s="70" t="s">
        <v>519</v>
      </c>
      <c r="D380" s="58"/>
      <c r="E380" s="59"/>
      <c r="F380" s="59"/>
      <c r="G380" s="59"/>
      <c r="H380" s="60"/>
      <c r="I380" s="32"/>
      <c r="J380" s="60"/>
      <c r="K380" s="61"/>
      <c r="L380" s="32"/>
      <c r="M380" s="65"/>
      <c r="N380" s="63"/>
      <c r="O380" s="64"/>
      <c r="P380" s="71"/>
      <c r="Q380" s="72"/>
      <c r="S380" s="1" t="str">
        <f t="shared" si="6"/>
        <v>B</v>
      </c>
    </row>
    <row r="381" spans="1:19" x14ac:dyDescent="0.55000000000000004">
      <c r="A381" s="1" t="e">
        <f>IF(#REF!="","",#REF!)</f>
        <v>#REF!</v>
      </c>
      <c r="C381" s="70" t="s">
        <v>520</v>
      </c>
      <c r="D381" s="58"/>
      <c r="E381" s="59"/>
      <c r="F381" s="59"/>
      <c r="G381" s="59"/>
      <c r="H381" s="60"/>
      <c r="I381" s="32"/>
      <c r="J381" s="60"/>
      <c r="K381" s="61"/>
      <c r="L381" s="32"/>
      <c r="M381" s="65"/>
      <c r="N381" s="63"/>
      <c r="O381" s="64"/>
      <c r="P381" s="71"/>
      <c r="Q381" s="72"/>
      <c r="S381" s="1" t="str">
        <f t="shared" si="6"/>
        <v>B</v>
      </c>
    </row>
    <row r="382" spans="1:19" x14ac:dyDescent="0.55000000000000004">
      <c r="A382" s="1" t="e">
        <f>IF(#REF!="","",#REF!)</f>
        <v>#REF!</v>
      </c>
      <c r="C382" s="70" t="s">
        <v>521</v>
      </c>
      <c r="D382" s="58"/>
      <c r="E382" s="59"/>
      <c r="F382" s="59"/>
      <c r="G382" s="59"/>
      <c r="H382" s="60"/>
      <c r="I382" s="32"/>
      <c r="J382" s="60"/>
      <c r="K382" s="61"/>
      <c r="L382" s="32"/>
      <c r="M382" s="65"/>
      <c r="N382" s="63"/>
      <c r="O382" s="64"/>
      <c r="P382" s="71"/>
      <c r="Q382" s="72"/>
      <c r="S382" s="1" t="str">
        <f t="shared" si="6"/>
        <v>B</v>
      </c>
    </row>
    <row r="383" spans="1:19" x14ac:dyDescent="0.55000000000000004">
      <c r="A383" s="1" t="e">
        <f>IF(#REF!="","",#REF!)</f>
        <v>#REF!</v>
      </c>
      <c r="C383" s="70" t="s">
        <v>522</v>
      </c>
      <c r="D383" s="58"/>
      <c r="E383" s="59"/>
      <c r="F383" s="59"/>
      <c r="G383" s="59"/>
      <c r="H383" s="60"/>
      <c r="I383" s="32"/>
      <c r="J383" s="60"/>
      <c r="K383" s="61"/>
      <c r="L383" s="32"/>
      <c r="M383" s="65"/>
      <c r="N383" s="63"/>
      <c r="O383" s="64"/>
      <c r="P383" s="71"/>
      <c r="Q383" s="72"/>
      <c r="S383" s="1" t="str">
        <f t="shared" si="6"/>
        <v>B</v>
      </c>
    </row>
    <row r="384" spans="1:19" x14ac:dyDescent="0.55000000000000004">
      <c r="A384" s="1" t="e">
        <f>IF(#REF!="","",#REF!)</f>
        <v>#REF!</v>
      </c>
      <c r="C384" s="70" t="s">
        <v>523</v>
      </c>
      <c r="D384" s="58"/>
      <c r="E384" s="59"/>
      <c r="F384" s="59"/>
      <c r="G384" s="59"/>
      <c r="H384" s="60"/>
      <c r="I384" s="32"/>
      <c r="J384" s="60"/>
      <c r="K384" s="61"/>
      <c r="L384" s="32"/>
      <c r="M384" s="65"/>
      <c r="N384" s="63"/>
      <c r="O384" s="64"/>
      <c r="P384" s="71"/>
      <c r="Q384" s="72"/>
      <c r="S384" s="1" t="str">
        <f t="shared" si="6"/>
        <v>B</v>
      </c>
    </row>
    <row r="385" spans="1:19" x14ac:dyDescent="0.55000000000000004">
      <c r="A385" s="1" t="e">
        <f>IF(#REF!="","",#REF!)</f>
        <v>#REF!</v>
      </c>
      <c r="C385" s="70" t="s">
        <v>524</v>
      </c>
      <c r="D385" s="58"/>
      <c r="E385" s="59"/>
      <c r="F385" s="59"/>
      <c r="G385" s="59"/>
      <c r="H385" s="60"/>
      <c r="I385" s="32"/>
      <c r="J385" s="60"/>
      <c r="K385" s="61"/>
      <c r="L385" s="32"/>
      <c r="M385" s="65"/>
      <c r="N385" s="63"/>
      <c r="O385" s="64"/>
      <c r="P385" s="71"/>
      <c r="Q385" s="72"/>
      <c r="S385" s="1" t="str">
        <f t="shared" si="6"/>
        <v>B</v>
      </c>
    </row>
    <row r="386" spans="1:19" x14ac:dyDescent="0.55000000000000004">
      <c r="A386" s="1" t="e">
        <f>IF(#REF!="","",#REF!)</f>
        <v>#REF!</v>
      </c>
      <c r="C386" s="70" t="s">
        <v>525</v>
      </c>
      <c r="D386" s="58"/>
      <c r="E386" s="59"/>
      <c r="F386" s="59"/>
      <c r="G386" s="59"/>
      <c r="H386" s="60"/>
      <c r="I386" s="32"/>
      <c r="J386" s="60"/>
      <c r="K386" s="61"/>
      <c r="L386" s="32"/>
      <c r="M386" s="65"/>
      <c r="N386" s="63"/>
      <c r="O386" s="64"/>
      <c r="P386" s="71"/>
      <c r="Q386" s="72"/>
      <c r="S386" s="1" t="str">
        <f t="shared" si="6"/>
        <v>B</v>
      </c>
    </row>
    <row r="387" spans="1:19" x14ac:dyDescent="0.55000000000000004">
      <c r="A387" s="1" t="e">
        <f>IF(#REF!="","",#REF!)</f>
        <v>#REF!</v>
      </c>
      <c r="C387" s="70" t="s">
        <v>526</v>
      </c>
      <c r="D387" s="58"/>
      <c r="E387" s="59"/>
      <c r="F387" s="59"/>
      <c r="G387" s="59"/>
      <c r="H387" s="60"/>
      <c r="I387" s="32"/>
      <c r="J387" s="60"/>
      <c r="K387" s="61"/>
      <c r="L387" s="32"/>
      <c r="M387" s="65"/>
      <c r="N387" s="63"/>
      <c r="O387" s="64"/>
      <c r="P387" s="71"/>
      <c r="Q387" s="72"/>
      <c r="S387" s="1" t="str">
        <f t="shared" si="6"/>
        <v>B</v>
      </c>
    </row>
    <row r="388" spans="1:19" x14ac:dyDescent="0.55000000000000004">
      <c r="A388" s="1" t="e">
        <f>IF(#REF!="","",#REF!)</f>
        <v>#REF!</v>
      </c>
      <c r="C388" s="70" t="s">
        <v>527</v>
      </c>
      <c r="D388" s="58"/>
      <c r="E388" s="59"/>
      <c r="F388" s="59"/>
      <c r="G388" s="59"/>
      <c r="H388" s="60"/>
      <c r="I388" s="32"/>
      <c r="J388" s="60"/>
      <c r="K388" s="61"/>
      <c r="L388" s="32"/>
      <c r="M388" s="65"/>
      <c r="N388" s="63"/>
      <c r="O388" s="64"/>
      <c r="P388" s="71"/>
      <c r="Q388" s="72"/>
      <c r="S388" s="1" t="str">
        <f t="shared" si="6"/>
        <v>B</v>
      </c>
    </row>
    <row r="389" spans="1:19" x14ac:dyDescent="0.55000000000000004">
      <c r="A389" s="1" t="e">
        <f>IF(#REF!="","",#REF!)</f>
        <v>#REF!</v>
      </c>
      <c r="C389" s="70" t="s">
        <v>528</v>
      </c>
      <c r="D389" s="58"/>
      <c r="E389" s="59"/>
      <c r="F389" s="59"/>
      <c r="G389" s="59"/>
      <c r="H389" s="60"/>
      <c r="I389" s="32"/>
      <c r="J389" s="60"/>
      <c r="K389" s="61"/>
      <c r="L389" s="32"/>
      <c r="M389" s="65"/>
      <c r="N389" s="63"/>
      <c r="O389" s="64"/>
      <c r="P389" s="71"/>
      <c r="Q389" s="72"/>
      <c r="S389" s="1" t="str">
        <f t="shared" si="6"/>
        <v>B</v>
      </c>
    </row>
    <row r="390" spans="1:19" x14ac:dyDescent="0.55000000000000004">
      <c r="A390" s="1" t="e">
        <f>IF(#REF!="","",#REF!)</f>
        <v>#REF!</v>
      </c>
      <c r="C390" s="70" t="s">
        <v>529</v>
      </c>
      <c r="D390" s="58"/>
      <c r="E390" s="59"/>
      <c r="F390" s="59"/>
      <c r="G390" s="59"/>
      <c r="H390" s="60"/>
      <c r="I390" s="32"/>
      <c r="J390" s="60"/>
      <c r="K390" s="61"/>
      <c r="L390" s="32"/>
      <c r="M390" s="65"/>
      <c r="N390" s="63"/>
      <c r="O390" s="64"/>
      <c r="P390" s="71"/>
      <c r="Q390" s="72"/>
      <c r="S390" s="1" t="str">
        <f t="shared" si="6"/>
        <v>B</v>
      </c>
    </row>
    <row r="391" spans="1:19" x14ac:dyDescent="0.55000000000000004">
      <c r="A391" s="1" t="e">
        <f>IF(#REF!="","",#REF!)</f>
        <v>#REF!</v>
      </c>
      <c r="C391" s="70" t="s">
        <v>530</v>
      </c>
      <c r="D391" s="58"/>
      <c r="E391" s="59"/>
      <c r="F391" s="59"/>
      <c r="G391" s="59"/>
      <c r="H391" s="60"/>
      <c r="I391" s="32"/>
      <c r="J391" s="60"/>
      <c r="K391" s="61"/>
      <c r="L391" s="32"/>
      <c r="M391" s="65"/>
      <c r="N391" s="63"/>
      <c r="O391" s="64"/>
      <c r="P391" s="71"/>
      <c r="Q391" s="72"/>
      <c r="S391" s="1" t="str">
        <f t="shared" si="6"/>
        <v>B</v>
      </c>
    </row>
    <row r="392" spans="1:19" x14ac:dyDescent="0.55000000000000004">
      <c r="A392" s="1" t="e">
        <f>IF(#REF!="","",#REF!)</f>
        <v>#REF!</v>
      </c>
      <c r="C392" s="70" t="s">
        <v>531</v>
      </c>
      <c r="D392" s="58"/>
      <c r="E392" s="59"/>
      <c r="F392" s="59"/>
      <c r="G392" s="59"/>
      <c r="H392" s="60"/>
      <c r="I392" s="32"/>
      <c r="J392" s="60"/>
      <c r="K392" s="61"/>
      <c r="L392" s="32"/>
      <c r="M392" s="65"/>
      <c r="N392" s="63"/>
      <c r="O392" s="64"/>
      <c r="P392" s="71"/>
      <c r="Q392" s="72"/>
      <c r="S392" s="1" t="str">
        <f t="shared" si="6"/>
        <v>B</v>
      </c>
    </row>
    <row r="393" spans="1:19" x14ac:dyDescent="0.55000000000000004">
      <c r="A393" s="1" t="e">
        <f>IF(#REF!="","",#REF!)</f>
        <v>#REF!</v>
      </c>
      <c r="C393" s="70" t="s">
        <v>532</v>
      </c>
      <c r="D393" s="58"/>
      <c r="E393" s="59"/>
      <c r="F393" s="59"/>
      <c r="G393" s="59"/>
      <c r="H393" s="60"/>
      <c r="I393" s="32"/>
      <c r="J393" s="60"/>
      <c r="K393" s="61"/>
      <c r="L393" s="32"/>
      <c r="M393" s="65"/>
      <c r="N393" s="63"/>
      <c r="O393" s="64"/>
      <c r="P393" s="71"/>
      <c r="Q393" s="72"/>
      <c r="S393" s="1" t="str">
        <f t="shared" si="6"/>
        <v>B</v>
      </c>
    </row>
    <row r="394" spans="1:19" x14ac:dyDescent="0.55000000000000004">
      <c r="A394" s="1" t="e">
        <f>IF(#REF!="","",#REF!)</f>
        <v>#REF!</v>
      </c>
      <c r="C394" s="70" t="s">
        <v>533</v>
      </c>
      <c r="D394" s="58"/>
      <c r="E394" s="59"/>
      <c r="F394" s="59"/>
      <c r="G394" s="59"/>
      <c r="H394" s="60"/>
      <c r="I394" s="32"/>
      <c r="J394" s="60"/>
      <c r="K394" s="61"/>
      <c r="L394" s="32"/>
      <c r="M394" s="65"/>
      <c r="N394" s="63"/>
      <c r="O394" s="64"/>
      <c r="P394" s="71"/>
      <c r="Q394" s="72"/>
      <c r="S394" s="1" t="str">
        <f t="shared" si="6"/>
        <v>B</v>
      </c>
    </row>
    <row r="395" spans="1:19" x14ac:dyDescent="0.55000000000000004">
      <c r="A395" s="1" t="e">
        <f>IF(#REF!="","",#REF!)</f>
        <v>#REF!</v>
      </c>
      <c r="C395" s="70" t="s">
        <v>534</v>
      </c>
      <c r="D395" s="58"/>
      <c r="E395" s="59"/>
      <c r="F395" s="59"/>
      <c r="G395" s="59"/>
      <c r="H395" s="60"/>
      <c r="I395" s="32"/>
      <c r="J395" s="60"/>
      <c r="K395" s="61"/>
      <c r="L395" s="32"/>
      <c r="M395" s="65"/>
      <c r="N395" s="63"/>
      <c r="O395" s="64"/>
      <c r="P395" s="71"/>
      <c r="Q395" s="72"/>
      <c r="S395" s="1" t="str">
        <f t="shared" si="6"/>
        <v>B</v>
      </c>
    </row>
    <row r="396" spans="1:19" x14ac:dyDescent="0.55000000000000004">
      <c r="A396" s="1" t="e">
        <f>IF(#REF!="","",#REF!)</f>
        <v>#REF!</v>
      </c>
      <c r="C396" s="70" t="s">
        <v>535</v>
      </c>
      <c r="D396" s="58"/>
      <c r="E396" s="59"/>
      <c r="F396" s="59"/>
      <c r="G396" s="59"/>
      <c r="H396" s="60"/>
      <c r="I396" s="32"/>
      <c r="J396" s="60"/>
      <c r="K396" s="61"/>
      <c r="L396" s="32"/>
      <c r="M396" s="65"/>
      <c r="N396" s="63"/>
      <c r="O396" s="64"/>
      <c r="P396" s="71"/>
      <c r="Q396" s="72"/>
      <c r="S396" s="1" t="str">
        <f t="shared" si="6"/>
        <v>B</v>
      </c>
    </row>
    <row r="397" spans="1:19" x14ac:dyDescent="0.55000000000000004">
      <c r="A397" s="1" t="e">
        <f>IF(#REF!="","",#REF!)</f>
        <v>#REF!</v>
      </c>
      <c r="C397" s="70" t="s">
        <v>536</v>
      </c>
      <c r="D397" s="58"/>
      <c r="E397" s="59"/>
      <c r="F397" s="59"/>
      <c r="G397" s="59"/>
      <c r="H397" s="60"/>
      <c r="I397" s="32"/>
      <c r="J397" s="60"/>
      <c r="K397" s="61"/>
      <c r="L397" s="32"/>
      <c r="M397" s="65"/>
      <c r="N397" s="63"/>
      <c r="O397" s="64"/>
      <c r="P397" s="71"/>
      <c r="Q397" s="72"/>
      <c r="S397" s="1" t="str">
        <f t="shared" si="6"/>
        <v>B</v>
      </c>
    </row>
    <row r="398" spans="1:19" x14ac:dyDescent="0.55000000000000004">
      <c r="A398" s="1" t="e">
        <f>IF(#REF!="","",#REF!)</f>
        <v>#REF!</v>
      </c>
      <c r="C398" s="70" t="s">
        <v>537</v>
      </c>
      <c r="D398" s="58"/>
      <c r="E398" s="59"/>
      <c r="F398" s="59"/>
      <c r="G398" s="59"/>
      <c r="H398" s="60"/>
      <c r="I398" s="32"/>
      <c r="J398" s="60"/>
      <c r="K398" s="61"/>
      <c r="L398" s="32"/>
      <c r="M398" s="65"/>
      <c r="N398" s="63"/>
      <c r="O398" s="64"/>
      <c r="P398" s="71"/>
      <c r="Q398" s="72"/>
      <c r="S398" s="1" t="str">
        <f t="shared" si="6"/>
        <v>B</v>
      </c>
    </row>
    <row r="399" spans="1:19" x14ac:dyDescent="0.55000000000000004">
      <c r="A399" s="1" t="e">
        <f>IF(#REF!="","",#REF!)</f>
        <v>#REF!</v>
      </c>
      <c r="C399" s="70" t="s">
        <v>538</v>
      </c>
      <c r="D399" s="58"/>
      <c r="E399" s="59"/>
      <c r="F399" s="59"/>
      <c r="G399" s="59"/>
      <c r="H399" s="60"/>
      <c r="I399" s="32"/>
      <c r="J399" s="60"/>
      <c r="K399" s="61"/>
      <c r="L399" s="32"/>
      <c r="M399" s="65"/>
      <c r="N399" s="63"/>
      <c r="O399" s="64"/>
      <c r="P399" s="71"/>
      <c r="Q399" s="72"/>
      <c r="S399" s="1" t="str">
        <f t="shared" si="6"/>
        <v>B</v>
      </c>
    </row>
    <row r="400" spans="1:19" x14ac:dyDescent="0.55000000000000004">
      <c r="A400" s="1" t="e">
        <f>IF(#REF!="","",#REF!)</f>
        <v>#REF!</v>
      </c>
      <c r="C400" s="70" t="s">
        <v>539</v>
      </c>
      <c r="D400" s="58"/>
      <c r="E400" s="59"/>
      <c r="F400" s="59"/>
      <c r="G400" s="59"/>
      <c r="H400" s="60"/>
      <c r="I400" s="32"/>
      <c r="J400" s="60"/>
      <c r="K400" s="61"/>
      <c r="L400" s="32"/>
      <c r="M400" s="65"/>
      <c r="N400" s="63"/>
      <c r="O400" s="64"/>
      <c r="P400" s="71"/>
      <c r="Q400" s="72"/>
      <c r="S400" s="1" t="str">
        <f t="shared" si="6"/>
        <v>B</v>
      </c>
    </row>
    <row r="401" spans="1:19" x14ac:dyDescent="0.55000000000000004">
      <c r="A401" s="1" t="e">
        <f>IF(#REF!="","",#REF!)</f>
        <v>#REF!</v>
      </c>
      <c r="C401" s="70" t="s">
        <v>540</v>
      </c>
      <c r="D401" s="58"/>
      <c r="E401" s="59"/>
      <c r="F401" s="59"/>
      <c r="G401" s="59"/>
      <c r="H401" s="60"/>
      <c r="I401" s="32"/>
      <c r="J401" s="60"/>
      <c r="K401" s="61"/>
      <c r="L401" s="32"/>
      <c r="M401" s="65"/>
      <c r="N401" s="63"/>
      <c r="O401" s="64"/>
      <c r="P401" s="71"/>
      <c r="Q401" s="72"/>
      <c r="S401" s="1" t="str">
        <f t="shared" si="6"/>
        <v>B</v>
      </c>
    </row>
    <row r="402" spans="1:19" x14ac:dyDescent="0.55000000000000004">
      <c r="A402" s="1" t="e">
        <f>IF(#REF!="","",#REF!)</f>
        <v>#REF!</v>
      </c>
      <c r="C402" s="70" t="s">
        <v>541</v>
      </c>
      <c r="D402" s="58"/>
      <c r="E402" s="59"/>
      <c r="F402" s="59"/>
      <c r="G402" s="59"/>
      <c r="H402" s="60"/>
      <c r="I402" s="32"/>
      <c r="J402" s="60"/>
      <c r="K402" s="61"/>
      <c r="L402" s="32"/>
      <c r="M402" s="65"/>
      <c r="N402" s="63"/>
      <c r="O402" s="64"/>
      <c r="P402" s="71"/>
      <c r="Q402" s="72"/>
      <c r="S402" s="1" t="str">
        <f t="shared" si="6"/>
        <v>B</v>
      </c>
    </row>
    <row r="403" spans="1:19" x14ac:dyDescent="0.55000000000000004">
      <c r="A403" s="1" t="e">
        <f>IF(#REF!="","",#REF!)</f>
        <v>#REF!</v>
      </c>
      <c r="C403" s="70" t="s">
        <v>542</v>
      </c>
      <c r="D403" s="58"/>
      <c r="E403" s="59"/>
      <c r="F403" s="59"/>
      <c r="G403" s="59"/>
      <c r="H403" s="60"/>
      <c r="I403" s="32"/>
      <c r="J403" s="60"/>
      <c r="K403" s="61"/>
      <c r="L403" s="32"/>
      <c r="M403" s="65"/>
      <c r="N403" s="63"/>
      <c r="O403" s="64"/>
      <c r="P403" s="71"/>
      <c r="Q403" s="72"/>
      <c r="S403" s="1" t="str">
        <f t="shared" si="6"/>
        <v>B</v>
      </c>
    </row>
    <row r="404" spans="1:19" x14ac:dyDescent="0.55000000000000004">
      <c r="A404" s="1" t="e">
        <f>IF(#REF!="","",#REF!)</f>
        <v>#REF!</v>
      </c>
      <c r="C404" s="70" t="s">
        <v>543</v>
      </c>
      <c r="D404" s="58"/>
      <c r="E404" s="59"/>
      <c r="F404" s="59"/>
      <c r="G404" s="59"/>
      <c r="H404" s="60"/>
      <c r="I404" s="32"/>
      <c r="J404" s="60"/>
      <c r="K404" s="61"/>
      <c r="L404" s="32"/>
      <c r="M404" s="65"/>
      <c r="N404" s="63"/>
      <c r="O404" s="64"/>
      <c r="P404" s="71"/>
      <c r="Q404" s="72"/>
      <c r="S404" s="1" t="str">
        <f t="shared" si="6"/>
        <v>B</v>
      </c>
    </row>
    <row r="405" spans="1:19" x14ac:dyDescent="0.55000000000000004">
      <c r="A405" s="1" t="e">
        <f>IF(#REF!="","",#REF!)</f>
        <v>#REF!</v>
      </c>
      <c r="C405" s="70" t="s">
        <v>544</v>
      </c>
      <c r="D405" s="58"/>
      <c r="E405" s="59"/>
      <c r="F405" s="59"/>
      <c r="G405" s="59"/>
      <c r="H405" s="60"/>
      <c r="I405" s="32"/>
      <c r="J405" s="60"/>
      <c r="K405" s="61"/>
      <c r="L405" s="32"/>
      <c r="M405" s="65"/>
      <c r="N405" s="63"/>
      <c r="O405" s="64"/>
      <c r="P405" s="71"/>
      <c r="Q405" s="72"/>
      <c r="S405" s="1" t="str">
        <f t="shared" si="6"/>
        <v>B</v>
      </c>
    </row>
    <row r="406" spans="1:19" x14ac:dyDescent="0.55000000000000004">
      <c r="A406" s="1" t="e">
        <f>IF(#REF!="","",#REF!)</f>
        <v>#REF!</v>
      </c>
      <c r="C406" s="70" t="s">
        <v>545</v>
      </c>
      <c r="D406" s="58"/>
      <c r="E406" s="59"/>
      <c r="F406" s="59"/>
      <c r="G406" s="59"/>
      <c r="H406" s="60"/>
      <c r="I406" s="32"/>
      <c r="J406" s="60"/>
      <c r="K406" s="61"/>
      <c r="L406" s="32"/>
      <c r="M406" s="65"/>
      <c r="N406" s="63"/>
      <c r="O406" s="64"/>
      <c r="P406" s="71"/>
      <c r="Q406" s="72"/>
      <c r="S406" s="1" t="str">
        <f t="shared" si="6"/>
        <v>B</v>
      </c>
    </row>
    <row r="407" spans="1:19" x14ac:dyDescent="0.55000000000000004">
      <c r="A407" s="1" t="e">
        <f>IF(#REF!="","",#REF!)</f>
        <v>#REF!</v>
      </c>
      <c r="C407" s="70" t="s">
        <v>546</v>
      </c>
      <c r="D407" s="58"/>
      <c r="E407" s="59"/>
      <c r="F407" s="59"/>
      <c r="G407" s="59"/>
      <c r="H407" s="60"/>
      <c r="I407" s="32"/>
      <c r="J407" s="60"/>
      <c r="K407" s="61"/>
      <c r="L407" s="32"/>
      <c r="M407" s="65"/>
      <c r="N407" s="63"/>
      <c r="O407" s="64"/>
      <c r="P407" s="71"/>
      <c r="Q407" s="72"/>
      <c r="S407" s="1" t="str">
        <f t="shared" si="6"/>
        <v>B</v>
      </c>
    </row>
    <row r="408" spans="1:19" x14ac:dyDescent="0.55000000000000004">
      <c r="A408" s="1" t="e">
        <f>IF(#REF!="","",#REF!)</f>
        <v>#REF!</v>
      </c>
      <c r="C408" s="70" t="s">
        <v>547</v>
      </c>
      <c r="D408" s="58"/>
      <c r="E408" s="59"/>
      <c r="F408" s="59"/>
      <c r="G408" s="59"/>
      <c r="H408" s="60"/>
      <c r="I408" s="32"/>
      <c r="J408" s="60"/>
      <c r="K408" s="61"/>
      <c r="L408" s="32"/>
      <c r="M408" s="65"/>
      <c r="N408" s="63"/>
      <c r="O408" s="64"/>
      <c r="P408" s="71"/>
      <c r="Q408" s="72"/>
      <c r="S408" s="1" t="str">
        <f t="shared" si="6"/>
        <v>B</v>
      </c>
    </row>
    <row r="409" spans="1:19" x14ac:dyDescent="0.55000000000000004">
      <c r="A409" s="1" t="e">
        <f>IF(#REF!="","",#REF!)</f>
        <v>#REF!</v>
      </c>
      <c r="C409" s="70" t="s">
        <v>548</v>
      </c>
      <c r="D409" s="58"/>
      <c r="E409" s="59"/>
      <c r="F409" s="59"/>
      <c r="G409" s="59"/>
      <c r="H409" s="60"/>
      <c r="I409" s="32"/>
      <c r="J409" s="60"/>
      <c r="K409" s="61"/>
      <c r="L409" s="32"/>
      <c r="M409" s="65"/>
      <c r="N409" s="63"/>
      <c r="O409" s="64"/>
      <c r="P409" s="71"/>
      <c r="Q409" s="72"/>
      <c r="S409" s="1" t="str">
        <f t="shared" si="6"/>
        <v>B</v>
      </c>
    </row>
    <row r="410" spans="1:19" x14ac:dyDescent="0.55000000000000004">
      <c r="A410" s="1" t="e">
        <f>IF(#REF!="","",#REF!)</f>
        <v>#REF!</v>
      </c>
      <c r="C410" s="70" t="s">
        <v>549</v>
      </c>
      <c r="D410" s="58"/>
      <c r="E410" s="59"/>
      <c r="F410" s="59"/>
      <c r="G410" s="59"/>
      <c r="H410" s="60"/>
      <c r="I410" s="32"/>
      <c r="J410" s="60"/>
      <c r="K410" s="61"/>
      <c r="L410" s="32"/>
      <c r="M410" s="65"/>
      <c r="N410" s="63"/>
      <c r="O410" s="64"/>
      <c r="P410" s="71"/>
      <c r="Q410" s="72"/>
      <c r="S410" s="1" t="str">
        <f t="shared" si="6"/>
        <v>B</v>
      </c>
    </row>
    <row r="411" spans="1:19" x14ac:dyDescent="0.55000000000000004">
      <c r="A411" s="1" t="e">
        <f>IF(#REF!="","",#REF!)</f>
        <v>#REF!</v>
      </c>
      <c r="C411" s="70" t="s">
        <v>550</v>
      </c>
      <c r="D411" s="58"/>
      <c r="E411" s="59"/>
      <c r="F411" s="59"/>
      <c r="G411" s="59"/>
      <c r="H411" s="60"/>
      <c r="I411" s="32"/>
      <c r="J411" s="60"/>
      <c r="K411" s="61"/>
      <c r="L411" s="32"/>
      <c r="M411" s="65"/>
      <c r="N411" s="63"/>
      <c r="O411" s="64"/>
      <c r="P411" s="71"/>
      <c r="Q411" s="72"/>
      <c r="S411" s="1" t="str">
        <f t="shared" si="6"/>
        <v>B</v>
      </c>
    </row>
    <row r="412" spans="1:19" x14ac:dyDescent="0.55000000000000004">
      <c r="A412" s="1" t="e">
        <f>IF(#REF!="","",#REF!)</f>
        <v>#REF!</v>
      </c>
      <c r="C412" s="70" t="s">
        <v>551</v>
      </c>
      <c r="D412" s="58"/>
      <c r="E412" s="59"/>
      <c r="F412" s="59"/>
      <c r="G412" s="59"/>
      <c r="H412" s="60"/>
      <c r="I412" s="32"/>
      <c r="J412" s="60"/>
      <c r="K412" s="61"/>
      <c r="L412" s="32"/>
      <c r="M412" s="65"/>
      <c r="N412" s="63"/>
      <c r="O412" s="64"/>
      <c r="P412" s="71"/>
      <c r="Q412" s="72"/>
      <c r="S412" s="1" t="str">
        <f t="shared" si="6"/>
        <v>B</v>
      </c>
    </row>
    <row r="413" spans="1:19" x14ac:dyDescent="0.55000000000000004">
      <c r="A413" s="1" t="e">
        <f>IF(#REF!="","",#REF!)</f>
        <v>#REF!</v>
      </c>
      <c r="C413" s="70" t="s">
        <v>552</v>
      </c>
      <c r="D413" s="58"/>
      <c r="E413" s="59"/>
      <c r="F413" s="59"/>
      <c r="G413" s="59"/>
      <c r="H413" s="60"/>
      <c r="I413" s="32"/>
      <c r="J413" s="60"/>
      <c r="K413" s="61"/>
      <c r="L413" s="32"/>
      <c r="M413" s="65"/>
      <c r="N413" s="63"/>
      <c r="O413" s="64"/>
      <c r="P413" s="71"/>
      <c r="Q413" s="72"/>
      <c r="S413" s="1" t="str">
        <f t="shared" si="6"/>
        <v>B</v>
      </c>
    </row>
    <row r="414" spans="1:19" x14ac:dyDescent="0.55000000000000004">
      <c r="A414" s="1" t="e">
        <f>IF(#REF!="","",#REF!)</f>
        <v>#REF!</v>
      </c>
      <c r="C414" s="70" t="s">
        <v>553</v>
      </c>
      <c r="D414" s="58"/>
      <c r="E414" s="59"/>
      <c r="F414" s="59"/>
      <c r="G414" s="59"/>
      <c r="H414" s="60"/>
      <c r="I414" s="32"/>
      <c r="J414" s="60"/>
      <c r="K414" s="61"/>
      <c r="L414" s="32"/>
      <c r="M414" s="65"/>
      <c r="N414" s="63"/>
      <c r="O414" s="64"/>
      <c r="P414" s="71"/>
      <c r="Q414" s="72"/>
      <c r="S414" s="1" t="str">
        <f t="shared" si="6"/>
        <v>B</v>
      </c>
    </row>
    <row r="415" spans="1:19" x14ac:dyDescent="0.55000000000000004">
      <c r="A415" s="1" t="e">
        <f>IF(#REF!="","",#REF!)</f>
        <v>#REF!</v>
      </c>
      <c r="C415" s="70" t="s">
        <v>554</v>
      </c>
      <c r="D415" s="58"/>
      <c r="E415" s="59"/>
      <c r="F415" s="59"/>
      <c r="G415" s="59"/>
      <c r="H415" s="60"/>
      <c r="I415" s="32"/>
      <c r="J415" s="60"/>
      <c r="K415" s="61"/>
      <c r="L415" s="32"/>
      <c r="M415" s="65"/>
      <c r="N415" s="63"/>
      <c r="O415" s="64"/>
      <c r="P415" s="71"/>
      <c r="Q415" s="72"/>
      <c r="S415" s="1" t="str">
        <f t="shared" si="6"/>
        <v>B</v>
      </c>
    </row>
    <row r="416" spans="1:19" x14ac:dyDescent="0.55000000000000004">
      <c r="A416" s="1" t="e">
        <f>IF(#REF!="","",#REF!)</f>
        <v>#REF!</v>
      </c>
      <c r="C416" s="70" t="s">
        <v>555</v>
      </c>
      <c r="D416" s="58"/>
      <c r="E416" s="59"/>
      <c r="F416" s="59"/>
      <c r="G416" s="59"/>
      <c r="H416" s="60"/>
      <c r="I416" s="32"/>
      <c r="J416" s="60"/>
      <c r="K416" s="61"/>
      <c r="L416" s="32"/>
      <c r="M416" s="65"/>
      <c r="N416" s="63"/>
      <c r="O416" s="64"/>
      <c r="P416" s="71"/>
      <c r="Q416" s="72"/>
      <c r="S416" s="1" t="str">
        <f t="shared" si="6"/>
        <v>B</v>
      </c>
    </row>
    <row r="417" spans="1:19" x14ac:dyDescent="0.55000000000000004">
      <c r="A417" s="1" t="e">
        <f>IF(#REF!="","",#REF!)</f>
        <v>#REF!</v>
      </c>
      <c r="C417" s="70" t="s">
        <v>556</v>
      </c>
      <c r="D417" s="58"/>
      <c r="E417" s="59"/>
      <c r="F417" s="59"/>
      <c r="G417" s="59"/>
      <c r="H417" s="60"/>
      <c r="I417" s="32"/>
      <c r="J417" s="60"/>
      <c r="K417" s="61"/>
      <c r="L417" s="32"/>
      <c r="M417" s="65"/>
      <c r="N417" s="63"/>
      <c r="O417" s="64"/>
      <c r="P417" s="71"/>
      <c r="Q417" s="72"/>
      <c r="S417" s="1" t="str">
        <f t="shared" si="6"/>
        <v>B</v>
      </c>
    </row>
    <row r="418" spans="1:19" x14ac:dyDescent="0.55000000000000004">
      <c r="A418" s="1" t="e">
        <f>IF(#REF!="","",#REF!)</f>
        <v>#REF!</v>
      </c>
      <c r="C418" s="70" t="s">
        <v>557</v>
      </c>
      <c r="D418" s="58"/>
      <c r="E418" s="59"/>
      <c r="F418" s="59"/>
      <c r="G418" s="59"/>
      <c r="H418" s="60"/>
      <c r="I418" s="32"/>
      <c r="J418" s="60"/>
      <c r="K418" s="61"/>
      <c r="L418" s="32"/>
      <c r="M418" s="65"/>
      <c r="N418" s="63"/>
      <c r="O418" s="64"/>
      <c r="P418" s="71"/>
      <c r="Q418" s="72"/>
      <c r="S418" s="1" t="str">
        <f t="shared" si="6"/>
        <v>B</v>
      </c>
    </row>
    <row r="419" spans="1:19" x14ac:dyDescent="0.55000000000000004">
      <c r="A419" s="1" t="e">
        <f>IF(#REF!="","",#REF!)</f>
        <v>#REF!</v>
      </c>
      <c r="C419" s="70" t="s">
        <v>558</v>
      </c>
      <c r="D419" s="58"/>
      <c r="E419" s="59"/>
      <c r="F419" s="59"/>
      <c r="G419" s="59"/>
      <c r="H419" s="60"/>
      <c r="I419" s="32"/>
      <c r="J419" s="60"/>
      <c r="K419" s="61"/>
      <c r="L419" s="32"/>
      <c r="M419" s="65"/>
      <c r="N419" s="63"/>
      <c r="O419" s="64"/>
      <c r="P419" s="71"/>
      <c r="Q419" s="72"/>
      <c r="S419" s="1" t="str">
        <f t="shared" si="6"/>
        <v>B</v>
      </c>
    </row>
    <row r="420" spans="1:19" x14ac:dyDescent="0.55000000000000004">
      <c r="A420" s="1" t="e">
        <f>IF(#REF!="","",#REF!)</f>
        <v>#REF!</v>
      </c>
      <c r="C420" s="70" t="s">
        <v>559</v>
      </c>
      <c r="D420" s="58"/>
      <c r="E420" s="59"/>
      <c r="F420" s="59"/>
      <c r="G420" s="59"/>
      <c r="H420" s="60"/>
      <c r="I420" s="32"/>
      <c r="J420" s="60"/>
      <c r="K420" s="61"/>
      <c r="L420" s="32"/>
      <c r="M420" s="65"/>
      <c r="N420" s="63"/>
      <c r="O420" s="64"/>
      <c r="P420" s="71"/>
      <c r="Q420" s="72"/>
      <c r="S420" s="1" t="str">
        <f t="shared" si="6"/>
        <v>B</v>
      </c>
    </row>
    <row r="421" spans="1:19" x14ac:dyDescent="0.55000000000000004">
      <c r="A421" s="1" t="e">
        <f>IF(#REF!="","",#REF!)</f>
        <v>#REF!</v>
      </c>
      <c r="C421" s="70" t="s">
        <v>560</v>
      </c>
      <c r="D421" s="58"/>
      <c r="E421" s="59"/>
      <c r="F421" s="59"/>
      <c r="G421" s="59"/>
      <c r="H421" s="60"/>
      <c r="I421" s="32"/>
      <c r="J421" s="60"/>
      <c r="K421" s="61"/>
      <c r="L421" s="32"/>
      <c r="M421" s="65"/>
      <c r="N421" s="63"/>
      <c r="O421" s="64"/>
      <c r="P421" s="71"/>
      <c r="Q421" s="72"/>
      <c r="S421" s="1" t="str">
        <f t="shared" si="6"/>
        <v>B</v>
      </c>
    </row>
    <row r="422" spans="1:19" x14ac:dyDescent="0.55000000000000004">
      <c r="A422" s="1" t="e">
        <f>IF(#REF!="","",#REF!)</f>
        <v>#REF!</v>
      </c>
      <c r="C422" s="70" t="s">
        <v>561</v>
      </c>
      <c r="D422" s="58"/>
      <c r="E422" s="59"/>
      <c r="F422" s="59"/>
      <c r="G422" s="59"/>
      <c r="H422" s="60"/>
      <c r="I422" s="32"/>
      <c r="J422" s="60"/>
      <c r="K422" s="61"/>
      <c r="L422" s="32"/>
      <c r="M422" s="65"/>
      <c r="N422" s="63"/>
      <c r="O422" s="64"/>
      <c r="P422" s="71"/>
      <c r="Q422" s="72"/>
      <c r="S422" s="1" t="str">
        <f t="shared" si="6"/>
        <v>B</v>
      </c>
    </row>
    <row r="423" spans="1:19" x14ac:dyDescent="0.55000000000000004">
      <c r="A423" s="1" t="e">
        <f>IF(#REF!="","",#REF!)</f>
        <v>#REF!</v>
      </c>
      <c r="C423" s="70" t="s">
        <v>562</v>
      </c>
      <c r="D423" s="58"/>
      <c r="E423" s="59"/>
      <c r="F423" s="59"/>
      <c r="G423" s="59"/>
      <c r="H423" s="60"/>
      <c r="I423" s="32"/>
      <c r="J423" s="60"/>
      <c r="K423" s="61"/>
      <c r="L423" s="32"/>
      <c r="M423" s="65"/>
      <c r="N423" s="63"/>
      <c r="O423" s="64"/>
      <c r="P423" s="71"/>
      <c r="Q423" s="72"/>
      <c r="S423" s="1" t="str">
        <f t="shared" si="6"/>
        <v>B</v>
      </c>
    </row>
    <row r="424" spans="1:19" x14ac:dyDescent="0.55000000000000004">
      <c r="A424" s="1" t="e">
        <f>IF(#REF!="","",#REF!)</f>
        <v>#REF!</v>
      </c>
      <c r="C424" s="70" t="s">
        <v>563</v>
      </c>
      <c r="D424" s="58"/>
      <c r="E424" s="59"/>
      <c r="F424" s="59"/>
      <c r="G424" s="59"/>
      <c r="H424" s="60"/>
      <c r="I424" s="32"/>
      <c r="J424" s="60"/>
      <c r="K424" s="61"/>
      <c r="L424" s="32"/>
      <c r="M424" s="65"/>
      <c r="N424" s="63"/>
      <c r="O424" s="64"/>
      <c r="P424" s="71"/>
      <c r="Q424" s="72"/>
      <c r="S424" s="1" t="str">
        <f t="shared" si="6"/>
        <v>B</v>
      </c>
    </row>
    <row r="425" spans="1:19" x14ac:dyDescent="0.55000000000000004">
      <c r="A425" s="1" t="e">
        <f>IF(#REF!="","",#REF!)</f>
        <v>#REF!</v>
      </c>
      <c r="C425" s="70" t="s">
        <v>564</v>
      </c>
      <c r="D425" s="58"/>
      <c r="E425" s="59"/>
      <c r="F425" s="59"/>
      <c r="G425" s="59"/>
      <c r="H425" s="60"/>
      <c r="I425" s="32"/>
      <c r="J425" s="60"/>
      <c r="K425" s="61"/>
      <c r="L425" s="32"/>
      <c r="M425" s="65"/>
      <c r="N425" s="63"/>
      <c r="O425" s="64"/>
      <c r="P425" s="71"/>
      <c r="Q425" s="72"/>
      <c r="S425" s="1" t="str">
        <f t="shared" si="6"/>
        <v>B</v>
      </c>
    </row>
    <row r="426" spans="1:19" x14ac:dyDescent="0.55000000000000004">
      <c r="A426" s="1" t="e">
        <f>IF(#REF!="","",#REF!)</f>
        <v>#REF!</v>
      </c>
      <c r="C426" s="70" t="s">
        <v>565</v>
      </c>
      <c r="D426" s="58"/>
      <c r="E426" s="59"/>
      <c r="F426" s="59"/>
      <c r="G426" s="59"/>
      <c r="H426" s="60"/>
      <c r="I426" s="32"/>
      <c r="J426" s="60"/>
      <c r="K426" s="61"/>
      <c r="L426" s="32"/>
      <c r="M426" s="65"/>
      <c r="N426" s="63"/>
      <c r="O426" s="64"/>
      <c r="P426" s="71"/>
      <c r="Q426" s="72"/>
      <c r="S426" s="1" t="str">
        <f t="shared" ref="S426:S489" si="7">IF(E426="キャンセル","",IF(G426="故障","A",IF(G426="紛失・盗難","A",IF(G426="キッティング","A","B"))))</f>
        <v>B</v>
      </c>
    </row>
    <row r="427" spans="1:19" x14ac:dyDescent="0.55000000000000004">
      <c r="A427" s="1" t="e">
        <f>IF(#REF!="","",#REF!)</f>
        <v>#REF!</v>
      </c>
      <c r="C427" s="70" t="s">
        <v>566</v>
      </c>
      <c r="D427" s="58"/>
      <c r="E427" s="59"/>
      <c r="F427" s="59"/>
      <c r="G427" s="59"/>
      <c r="H427" s="60"/>
      <c r="I427" s="32"/>
      <c r="J427" s="60"/>
      <c r="K427" s="61"/>
      <c r="L427" s="32"/>
      <c r="M427" s="65"/>
      <c r="N427" s="63"/>
      <c r="O427" s="64"/>
      <c r="P427" s="71"/>
      <c r="Q427" s="72"/>
      <c r="S427" s="1" t="str">
        <f t="shared" si="7"/>
        <v>B</v>
      </c>
    </row>
    <row r="428" spans="1:19" x14ac:dyDescent="0.55000000000000004">
      <c r="A428" s="1" t="e">
        <f>IF(#REF!="","",#REF!)</f>
        <v>#REF!</v>
      </c>
      <c r="C428" s="70" t="s">
        <v>567</v>
      </c>
      <c r="D428" s="58"/>
      <c r="E428" s="59"/>
      <c r="F428" s="59"/>
      <c r="G428" s="59"/>
      <c r="H428" s="60"/>
      <c r="I428" s="32"/>
      <c r="J428" s="60"/>
      <c r="K428" s="61"/>
      <c r="L428" s="32"/>
      <c r="M428" s="65"/>
      <c r="N428" s="63"/>
      <c r="O428" s="64"/>
      <c r="P428" s="71"/>
      <c r="Q428" s="72"/>
      <c r="S428" s="1" t="str">
        <f t="shared" si="7"/>
        <v>B</v>
      </c>
    </row>
    <row r="429" spans="1:19" x14ac:dyDescent="0.55000000000000004">
      <c r="A429" s="1" t="e">
        <f>IF(#REF!="","",#REF!)</f>
        <v>#REF!</v>
      </c>
      <c r="C429" s="70" t="s">
        <v>568</v>
      </c>
      <c r="D429" s="58"/>
      <c r="E429" s="59"/>
      <c r="F429" s="59"/>
      <c r="G429" s="59"/>
      <c r="H429" s="60"/>
      <c r="I429" s="32"/>
      <c r="J429" s="60"/>
      <c r="K429" s="61"/>
      <c r="L429" s="32"/>
      <c r="M429" s="65"/>
      <c r="N429" s="63"/>
      <c r="O429" s="64"/>
      <c r="P429" s="71"/>
      <c r="Q429" s="72"/>
      <c r="S429" s="1" t="str">
        <f t="shared" si="7"/>
        <v>B</v>
      </c>
    </row>
    <row r="430" spans="1:19" x14ac:dyDescent="0.55000000000000004">
      <c r="A430" s="1" t="e">
        <f>IF(#REF!="","",#REF!)</f>
        <v>#REF!</v>
      </c>
      <c r="C430" s="70" t="s">
        <v>569</v>
      </c>
      <c r="D430" s="58"/>
      <c r="E430" s="59"/>
      <c r="F430" s="59"/>
      <c r="G430" s="59"/>
      <c r="H430" s="60"/>
      <c r="I430" s="32"/>
      <c r="J430" s="60"/>
      <c r="K430" s="61"/>
      <c r="L430" s="32"/>
      <c r="M430" s="65"/>
      <c r="N430" s="63"/>
      <c r="O430" s="64"/>
      <c r="P430" s="71"/>
      <c r="Q430" s="72"/>
      <c r="S430" s="1" t="str">
        <f t="shared" si="7"/>
        <v>B</v>
      </c>
    </row>
    <row r="431" spans="1:19" x14ac:dyDescent="0.55000000000000004">
      <c r="A431" s="1" t="e">
        <f>IF(#REF!="","",#REF!)</f>
        <v>#REF!</v>
      </c>
      <c r="C431" s="70" t="s">
        <v>570</v>
      </c>
      <c r="D431" s="58"/>
      <c r="E431" s="59"/>
      <c r="F431" s="59"/>
      <c r="G431" s="59"/>
      <c r="H431" s="60"/>
      <c r="I431" s="32"/>
      <c r="J431" s="60"/>
      <c r="K431" s="61"/>
      <c r="L431" s="32"/>
      <c r="M431" s="65"/>
      <c r="N431" s="63"/>
      <c r="O431" s="64"/>
      <c r="P431" s="71"/>
      <c r="Q431" s="72"/>
      <c r="S431" s="1" t="str">
        <f t="shared" si="7"/>
        <v>B</v>
      </c>
    </row>
    <row r="432" spans="1:19" x14ac:dyDescent="0.55000000000000004">
      <c r="A432" s="1" t="e">
        <f>IF(#REF!="","",#REF!)</f>
        <v>#REF!</v>
      </c>
      <c r="C432" s="70" t="s">
        <v>571</v>
      </c>
      <c r="D432" s="58"/>
      <c r="E432" s="59"/>
      <c r="F432" s="59"/>
      <c r="G432" s="59"/>
      <c r="H432" s="60"/>
      <c r="I432" s="32"/>
      <c r="J432" s="60"/>
      <c r="K432" s="61"/>
      <c r="L432" s="32"/>
      <c r="M432" s="65"/>
      <c r="N432" s="63"/>
      <c r="O432" s="64"/>
      <c r="P432" s="71"/>
      <c r="Q432" s="72"/>
      <c r="S432" s="1" t="str">
        <f t="shared" si="7"/>
        <v>B</v>
      </c>
    </row>
    <row r="433" spans="1:19" x14ac:dyDescent="0.55000000000000004">
      <c r="A433" s="1" t="e">
        <f>IF(#REF!="","",#REF!)</f>
        <v>#REF!</v>
      </c>
      <c r="C433" s="70" t="s">
        <v>572</v>
      </c>
      <c r="D433" s="58"/>
      <c r="E433" s="59"/>
      <c r="F433" s="59"/>
      <c r="G433" s="59"/>
      <c r="H433" s="60"/>
      <c r="I433" s="32"/>
      <c r="J433" s="60"/>
      <c r="K433" s="61"/>
      <c r="L433" s="32"/>
      <c r="M433" s="65"/>
      <c r="N433" s="63"/>
      <c r="O433" s="64"/>
      <c r="P433" s="71"/>
      <c r="Q433" s="72"/>
      <c r="S433" s="1" t="str">
        <f t="shared" si="7"/>
        <v>B</v>
      </c>
    </row>
    <row r="434" spans="1:19" x14ac:dyDescent="0.55000000000000004">
      <c r="A434" s="1" t="e">
        <f>IF(#REF!="","",#REF!)</f>
        <v>#REF!</v>
      </c>
      <c r="C434" s="70" t="s">
        <v>573</v>
      </c>
      <c r="D434" s="58"/>
      <c r="E434" s="59"/>
      <c r="F434" s="59"/>
      <c r="G434" s="59"/>
      <c r="H434" s="60"/>
      <c r="I434" s="32"/>
      <c r="J434" s="60"/>
      <c r="K434" s="61"/>
      <c r="L434" s="32"/>
      <c r="M434" s="65"/>
      <c r="N434" s="63"/>
      <c r="O434" s="64"/>
      <c r="P434" s="71"/>
      <c r="Q434" s="72"/>
      <c r="S434" s="1" t="str">
        <f t="shared" si="7"/>
        <v>B</v>
      </c>
    </row>
    <row r="435" spans="1:19" x14ac:dyDescent="0.55000000000000004">
      <c r="A435" s="1" t="e">
        <f>IF(#REF!="","",#REF!)</f>
        <v>#REF!</v>
      </c>
      <c r="C435" s="70" t="s">
        <v>574</v>
      </c>
      <c r="D435" s="58"/>
      <c r="E435" s="59"/>
      <c r="F435" s="59"/>
      <c r="G435" s="59"/>
      <c r="H435" s="60"/>
      <c r="I435" s="32"/>
      <c r="J435" s="60"/>
      <c r="K435" s="61"/>
      <c r="L435" s="32"/>
      <c r="M435" s="65"/>
      <c r="N435" s="63"/>
      <c r="O435" s="64"/>
      <c r="P435" s="71"/>
      <c r="Q435" s="72"/>
      <c r="S435" s="1" t="str">
        <f t="shared" si="7"/>
        <v>B</v>
      </c>
    </row>
    <row r="436" spans="1:19" x14ac:dyDescent="0.55000000000000004">
      <c r="A436" s="1" t="e">
        <f>IF(#REF!="","",#REF!)</f>
        <v>#REF!</v>
      </c>
      <c r="C436" s="70" t="s">
        <v>575</v>
      </c>
      <c r="D436" s="58"/>
      <c r="E436" s="59"/>
      <c r="F436" s="59"/>
      <c r="G436" s="59"/>
      <c r="H436" s="60"/>
      <c r="I436" s="32"/>
      <c r="J436" s="60"/>
      <c r="K436" s="61"/>
      <c r="L436" s="32"/>
      <c r="M436" s="65"/>
      <c r="N436" s="63"/>
      <c r="O436" s="64"/>
      <c r="P436" s="71"/>
      <c r="Q436" s="72"/>
      <c r="S436" s="1" t="str">
        <f t="shared" si="7"/>
        <v>B</v>
      </c>
    </row>
    <row r="437" spans="1:19" x14ac:dyDescent="0.55000000000000004">
      <c r="A437" s="1" t="e">
        <f>IF(#REF!="","",#REF!)</f>
        <v>#REF!</v>
      </c>
      <c r="C437" s="70" t="s">
        <v>576</v>
      </c>
      <c r="D437" s="58"/>
      <c r="E437" s="59"/>
      <c r="F437" s="59"/>
      <c r="G437" s="59"/>
      <c r="H437" s="60"/>
      <c r="I437" s="32"/>
      <c r="J437" s="60"/>
      <c r="K437" s="61"/>
      <c r="L437" s="32"/>
      <c r="M437" s="65"/>
      <c r="N437" s="63"/>
      <c r="O437" s="64"/>
      <c r="P437" s="71"/>
      <c r="Q437" s="72"/>
      <c r="S437" s="1" t="str">
        <f t="shared" si="7"/>
        <v>B</v>
      </c>
    </row>
    <row r="438" spans="1:19" x14ac:dyDescent="0.55000000000000004">
      <c r="A438" s="1" t="e">
        <f>IF(#REF!="","",#REF!)</f>
        <v>#REF!</v>
      </c>
      <c r="C438" s="70" t="s">
        <v>577</v>
      </c>
      <c r="D438" s="58"/>
      <c r="E438" s="59"/>
      <c r="F438" s="59"/>
      <c r="G438" s="59"/>
      <c r="H438" s="60"/>
      <c r="I438" s="32"/>
      <c r="J438" s="60"/>
      <c r="K438" s="61"/>
      <c r="L438" s="32"/>
      <c r="M438" s="65"/>
      <c r="N438" s="63"/>
      <c r="O438" s="64"/>
      <c r="P438" s="71"/>
      <c r="Q438" s="72"/>
      <c r="S438" s="1" t="str">
        <f t="shared" si="7"/>
        <v>B</v>
      </c>
    </row>
    <row r="439" spans="1:19" x14ac:dyDescent="0.55000000000000004">
      <c r="A439" s="1" t="e">
        <f>IF(#REF!="","",#REF!)</f>
        <v>#REF!</v>
      </c>
      <c r="C439" s="70" t="s">
        <v>578</v>
      </c>
      <c r="D439" s="58"/>
      <c r="E439" s="59"/>
      <c r="F439" s="59"/>
      <c r="G439" s="59"/>
      <c r="H439" s="60"/>
      <c r="I439" s="32"/>
      <c r="J439" s="60"/>
      <c r="K439" s="61"/>
      <c r="L439" s="32"/>
      <c r="M439" s="65"/>
      <c r="N439" s="63"/>
      <c r="O439" s="64"/>
      <c r="P439" s="71"/>
      <c r="Q439" s="72"/>
      <c r="S439" s="1" t="str">
        <f t="shared" si="7"/>
        <v>B</v>
      </c>
    </row>
    <row r="440" spans="1:19" x14ac:dyDescent="0.55000000000000004">
      <c r="A440" s="1" t="e">
        <f>IF(#REF!="","",#REF!)</f>
        <v>#REF!</v>
      </c>
      <c r="C440" s="70" t="s">
        <v>579</v>
      </c>
      <c r="D440" s="58"/>
      <c r="E440" s="59"/>
      <c r="F440" s="59"/>
      <c r="G440" s="59"/>
      <c r="H440" s="60"/>
      <c r="I440" s="32"/>
      <c r="J440" s="60"/>
      <c r="K440" s="61"/>
      <c r="L440" s="32"/>
      <c r="M440" s="65"/>
      <c r="N440" s="63"/>
      <c r="O440" s="64"/>
      <c r="P440" s="71"/>
      <c r="Q440" s="72"/>
      <c r="S440" s="1" t="str">
        <f t="shared" si="7"/>
        <v>B</v>
      </c>
    </row>
    <row r="441" spans="1:19" x14ac:dyDescent="0.55000000000000004">
      <c r="A441" s="1" t="e">
        <f>IF(#REF!="","",#REF!)</f>
        <v>#REF!</v>
      </c>
      <c r="C441" s="70" t="s">
        <v>580</v>
      </c>
      <c r="D441" s="58"/>
      <c r="E441" s="59"/>
      <c r="F441" s="59"/>
      <c r="G441" s="59"/>
      <c r="H441" s="60"/>
      <c r="I441" s="32"/>
      <c r="J441" s="60"/>
      <c r="K441" s="61"/>
      <c r="L441" s="32"/>
      <c r="M441" s="65"/>
      <c r="N441" s="63"/>
      <c r="O441" s="64"/>
      <c r="P441" s="71"/>
      <c r="Q441" s="72"/>
      <c r="S441" s="1" t="str">
        <f t="shared" si="7"/>
        <v>B</v>
      </c>
    </row>
    <row r="442" spans="1:19" x14ac:dyDescent="0.55000000000000004">
      <c r="A442" s="1" t="e">
        <f>IF(#REF!="","",#REF!)</f>
        <v>#REF!</v>
      </c>
      <c r="C442" s="70" t="s">
        <v>581</v>
      </c>
      <c r="D442" s="58"/>
      <c r="E442" s="59"/>
      <c r="F442" s="59"/>
      <c r="G442" s="59"/>
      <c r="H442" s="60"/>
      <c r="I442" s="32"/>
      <c r="J442" s="60"/>
      <c r="K442" s="61"/>
      <c r="L442" s="32"/>
      <c r="M442" s="65"/>
      <c r="N442" s="63"/>
      <c r="O442" s="64"/>
      <c r="P442" s="71"/>
      <c r="Q442" s="72"/>
      <c r="S442" s="1" t="str">
        <f t="shared" si="7"/>
        <v>B</v>
      </c>
    </row>
    <row r="443" spans="1:19" x14ac:dyDescent="0.55000000000000004">
      <c r="A443" s="1" t="e">
        <f>IF(#REF!="","",#REF!)</f>
        <v>#REF!</v>
      </c>
      <c r="C443" s="70" t="s">
        <v>582</v>
      </c>
      <c r="D443" s="58"/>
      <c r="E443" s="59"/>
      <c r="F443" s="59"/>
      <c r="G443" s="59"/>
      <c r="H443" s="60"/>
      <c r="I443" s="32"/>
      <c r="J443" s="60"/>
      <c r="K443" s="61"/>
      <c r="L443" s="32"/>
      <c r="M443" s="65"/>
      <c r="N443" s="63"/>
      <c r="O443" s="64"/>
      <c r="P443" s="71"/>
      <c r="Q443" s="72"/>
      <c r="S443" s="1" t="str">
        <f t="shared" si="7"/>
        <v>B</v>
      </c>
    </row>
    <row r="444" spans="1:19" x14ac:dyDescent="0.55000000000000004">
      <c r="A444" s="1" t="e">
        <f>IF(#REF!="","",#REF!)</f>
        <v>#REF!</v>
      </c>
      <c r="C444" s="70" t="s">
        <v>583</v>
      </c>
      <c r="D444" s="58"/>
      <c r="E444" s="59"/>
      <c r="F444" s="59"/>
      <c r="G444" s="59"/>
      <c r="H444" s="60"/>
      <c r="I444" s="32"/>
      <c r="J444" s="60"/>
      <c r="K444" s="61"/>
      <c r="L444" s="32"/>
      <c r="M444" s="65"/>
      <c r="N444" s="63"/>
      <c r="O444" s="64"/>
      <c r="P444" s="71"/>
      <c r="Q444" s="72"/>
      <c r="S444" s="1" t="str">
        <f t="shared" si="7"/>
        <v>B</v>
      </c>
    </row>
    <row r="445" spans="1:19" x14ac:dyDescent="0.55000000000000004">
      <c r="A445" s="1" t="e">
        <f>IF(#REF!="","",#REF!)</f>
        <v>#REF!</v>
      </c>
      <c r="C445" s="70" t="s">
        <v>584</v>
      </c>
      <c r="D445" s="58"/>
      <c r="E445" s="59"/>
      <c r="F445" s="59"/>
      <c r="G445" s="59"/>
      <c r="H445" s="60"/>
      <c r="I445" s="32"/>
      <c r="J445" s="60"/>
      <c r="K445" s="61"/>
      <c r="L445" s="32"/>
      <c r="M445" s="65"/>
      <c r="N445" s="63"/>
      <c r="O445" s="64"/>
      <c r="P445" s="71"/>
      <c r="Q445" s="72"/>
      <c r="S445" s="1" t="str">
        <f t="shared" si="7"/>
        <v>B</v>
      </c>
    </row>
    <row r="446" spans="1:19" x14ac:dyDescent="0.55000000000000004">
      <c r="A446" s="1" t="e">
        <f>IF(#REF!="","",#REF!)</f>
        <v>#REF!</v>
      </c>
      <c r="C446" s="70" t="s">
        <v>585</v>
      </c>
      <c r="D446" s="58"/>
      <c r="E446" s="59"/>
      <c r="F446" s="59"/>
      <c r="G446" s="59"/>
      <c r="H446" s="60"/>
      <c r="I446" s="32"/>
      <c r="J446" s="60"/>
      <c r="K446" s="61"/>
      <c r="L446" s="32"/>
      <c r="M446" s="65"/>
      <c r="N446" s="63"/>
      <c r="O446" s="64"/>
      <c r="P446" s="71"/>
      <c r="Q446" s="72"/>
      <c r="S446" s="1" t="str">
        <f t="shared" si="7"/>
        <v>B</v>
      </c>
    </row>
    <row r="447" spans="1:19" x14ac:dyDescent="0.55000000000000004">
      <c r="A447" s="1" t="e">
        <f>IF(#REF!="","",#REF!)</f>
        <v>#REF!</v>
      </c>
      <c r="C447" s="70" t="s">
        <v>586</v>
      </c>
      <c r="D447" s="58"/>
      <c r="E447" s="59"/>
      <c r="F447" s="59"/>
      <c r="G447" s="59"/>
      <c r="H447" s="60"/>
      <c r="I447" s="32"/>
      <c r="J447" s="60"/>
      <c r="K447" s="61"/>
      <c r="L447" s="32"/>
      <c r="M447" s="65"/>
      <c r="N447" s="63"/>
      <c r="O447" s="64"/>
      <c r="P447" s="71"/>
      <c r="Q447" s="72"/>
      <c r="S447" s="1" t="str">
        <f t="shared" si="7"/>
        <v>B</v>
      </c>
    </row>
    <row r="448" spans="1:19" x14ac:dyDescent="0.55000000000000004">
      <c r="A448" s="1" t="e">
        <f>IF(#REF!="","",#REF!)</f>
        <v>#REF!</v>
      </c>
      <c r="C448" s="70" t="s">
        <v>587</v>
      </c>
      <c r="D448" s="58"/>
      <c r="E448" s="59"/>
      <c r="F448" s="59"/>
      <c r="G448" s="59"/>
      <c r="H448" s="60"/>
      <c r="I448" s="32"/>
      <c r="J448" s="60"/>
      <c r="K448" s="61"/>
      <c r="L448" s="32"/>
      <c r="M448" s="65"/>
      <c r="N448" s="63"/>
      <c r="O448" s="64"/>
      <c r="P448" s="71"/>
      <c r="Q448" s="72"/>
      <c r="S448" s="1" t="str">
        <f t="shared" si="7"/>
        <v>B</v>
      </c>
    </row>
    <row r="449" spans="1:19" x14ac:dyDescent="0.55000000000000004">
      <c r="A449" s="1" t="e">
        <f>IF(#REF!="","",#REF!)</f>
        <v>#REF!</v>
      </c>
      <c r="C449" s="70" t="s">
        <v>588</v>
      </c>
      <c r="D449" s="58"/>
      <c r="E449" s="59"/>
      <c r="F449" s="59"/>
      <c r="G449" s="59"/>
      <c r="H449" s="60"/>
      <c r="I449" s="32"/>
      <c r="J449" s="60"/>
      <c r="K449" s="61"/>
      <c r="L449" s="32"/>
      <c r="M449" s="65"/>
      <c r="N449" s="63"/>
      <c r="O449" s="64"/>
      <c r="P449" s="71"/>
      <c r="Q449" s="72"/>
      <c r="S449" s="1" t="str">
        <f t="shared" si="7"/>
        <v>B</v>
      </c>
    </row>
    <row r="450" spans="1:19" x14ac:dyDescent="0.55000000000000004">
      <c r="A450" s="1" t="e">
        <f>IF(#REF!="","",#REF!)</f>
        <v>#REF!</v>
      </c>
      <c r="C450" s="70" t="s">
        <v>589</v>
      </c>
      <c r="D450" s="58"/>
      <c r="E450" s="59"/>
      <c r="F450" s="59"/>
      <c r="G450" s="59"/>
      <c r="H450" s="60"/>
      <c r="I450" s="32"/>
      <c r="J450" s="60"/>
      <c r="K450" s="61"/>
      <c r="L450" s="32"/>
      <c r="M450" s="65"/>
      <c r="N450" s="63"/>
      <c r="O450" s="64"/>
      <c r="P450" s="71"/>
      <c r="Q450" s="72"/>
      <c r="S450" s="1" t="str">
        <f t="shared" si="7"/>
        <v>B</v>
      </c>
    </row>
    <row r="451" spans="1:19" x14ac:dyDescent="0.55000000000000004">
      <c r="A451" s="1" t="e">
        <f>IF(#REF!="","",#REF!)</f>
        <v>#REF!</v>
      </c>
      <c r="C451" s="70" t="s">
        <v>590</v>
      </c>
      <c r="D451" s="58"/>
      <c r="E451" s="59"/>
      <c r="F451" s="59"/>
      <c r="G451" s="59"/>
      <c r="H451" s="60"/>
      <c r="I451" s="32"/>
      <c r="J451" s="60"/>
      <c r="K451" s="61"/>
      <c r="L451" s="32"/>
      <c r="M451" s="65"/>
      <c r="N451" s="63"/>
      <c r="O451" s="64"/>
      <c r="P451" s="71"/>
      <c r="Q451" s="72"/>
      <c r="S451" s="1" t="str">
        <f t="shared" si="7"/>
        <v>B</v>
      </c>
    </row>
    <row r="452" spans="1:19" x14ac:dyDescent="0.55000000000000004">
      <c r="A452" s="1" t="e">
        <f>IF(#REF!="","",#REF!)</f>
        <v>#REF!</v>
      </c>
      <c r="C452" s="70" t="s">
        <v>591</v>
      </c>
      <c r="D452" s="58"/>
      <c r="E452" s="59"/>
      <c r="F452" s="59"/>
      <c r="G452" s="59"/>
      <c r="H452" s="60"/>
      <c r="I452" s="32"/>
      <c r="J452" s="60"/>
      <c r="K452" s="61"/>
      <c r="L452" s="32"/>
      <c r="M452" s="65"/>
      <c r="N452" s="63"/>
      <c r="O452" s="64"/>
      <c r="P452" s="71"/>
      <c r="Q452" s="72"/>
      <c r="S452" s="1" t="str">
        <f t="shared" si="7"/>
        <v>B</v>
      </c>
    </row>
    <row r="453" spans="1:19" x14ac:dyDescent="0.55000000000000004">
      <c r="A453" s="1" t="e">
        <f>IF(#REF!="","",#REF!)</f>
        <v>#REF!</v>
      </c>
      <c r="C453" s="70" t="s">
        <v>592</v>
      </c>
      <c r="D453" s="58"/>
      <c r="E453" s="59"/>
      <c r="F453" s="59"/>
      <c r="G453" s="59"/>
      <c r="H453" s="60"/>
      <c r="I453" s="32"/>
      <c r="J453" s="60"/>
      <c r="K453" s="61"/>
      <c r="L453" s="32"/>
      <c r="M453" s="65"/>
      <c r="N453" s="63"/>
      <c r="O453" s="64"/>
      <c r="P453" s="71"/>
      <c r="Q453" s="72"/>
      <c r="S453" s="1" t="str">
        <f t="shared" si="7"/>
        <v>B</v>
      </c>
    </row>
    <row r="454" spans="1:19" x14ac:dyDescent="0.55000000000000004">
      <c r="A454" s="1" t="e">
        <f>IF(#REF!="","",#REF!)</f>
        <v>#REF!</v>
      </c>
      <c r="C454" s="70" t="s">
        <v>593</v>
      </c>
      <c r="D454" s="58"/>
      <c r="E454" s="59"/>
      <c r="F454" s="59"/>
      <c r="G454" s="59"/>
      <c r="H454" s="60"/>
      <c r="I454" s="32"/>
      <c r="J454" s="60"/>
      <c r="K454" s="61"/>
      <c r="L454" s="32"/>
      <c r="M454" s="65"/>
      <c r="N454" s="63"/>
      <c r="O454" s="64"/>
      <c r="P454" s="71"/>
      <c r="Q454" s="72"/>
      <c r="S454" s="1" t="str">
        <f t="shared" si="7"/>
        <v>B</v>
      </c>
    </row>
    <row r="455" spans="1:19" x14ac:dyDescent="0.55000000000000004">
      <c r="A455" s="1" t="e">
        <f>IF(#REF!="","",#REF!)</f>
        <v>#REF!</v>
      </c>
      <c r="C455" s="70" t="s">
        <v>594</v>
      </c>
      <c r="D455" s="58"/>
      <c r="E455" s="59"/>
      <c r="F455" s="59"/>
      <c r="G455" s="59"/>
      <c r="H455" s="60"/>
      <c r="I455" s="32"/>
      <c r="J455" s="60"/>
      <c r="K455" s="61"/>
      <c r="L455" s="32"/>
      <c r="M455" s="65"/>
      <c r="N455" s="63"/>
      <c r="O455" s="64"/>
      <c r="P455" s="71"/>
      <c r="Q455" s="72"/>
      <c r="S455" s="1" t="str">
        <f t="shared" si="7"/>
        <v>B</v>
      </c>
    </row>
    <row r="456" spans="1:19" x14ac:dyDescent="0.55000000000000004">
      <c r="A456" s="1" t="e">
        <f>IF(#REF!="","",#REF!)</f>
        <v>#REF!</v>
      </c>
      <c r="C456" s="70" t="s">
        <v>595</v>
      </c>
      <c r="D456" s="58"/>
      <c r="E456" s="59"/>
      <c r="F456" s="59"/>
      <c r="G456" s="59"/>
      <c r="H456" s="60"/>
      <c r="I456" s="32"/>
      <c r="J456" s="60"/>
      <c r="K456" s="61"/>
      <c r="L456" s="32"/>
      <c r="M456" s="65"/>
      <c r="N456" s="63"/>
      <c r="O456" s="64"/>
      <c r="P456" s="71"/>
      <c r="Q456" s="72"/>
      <c r="S456" s="1" t="str">
        <f t="shared" si="7"/>
        <v>B</v>
      </c>
    </row>
    <row r="457" spans="1:19" x14ac:dyDescent="0.55000000000000004">
      <c r="A457" s="1" t="e">
        <f>IF(#REF!="","",#REF!)</f>
        <v>#REF!</v>
      </c>
      <c r="C457" s="70" t="s">
        <v>596</v>
      </c>
      <c r="D457" s="58"/>
      <c r="E457" s="59"/>
      <c r="F457" s="59"/>
      <c r="G457" s="59"/>
      <c r="H457" s="60"/>
      <c r="I457" s="32"/>
      <c r="J457" s="60"/>
      <c r="K457" s="61"/>
      <c r="L457" s="32"/>
      <c r="M457" s="65"/>
      <c r="N457" s="63"/>
      <c r="O457" s="64"/>
      <c r="P457" s="71"/>
      <c r="Q457" s="72"/>
      <c r="S457" s="1" t="str">
        <f t="shared" si="7"/>
        <v>B</v>
      </c>
    </row>
    <row r="458" spans="1:19" x14ac:dyDescent="0.55000000000000004">
      <c r="A458" s="1" t="e">
        <f>IF(#REF!="","",#REF!)</f>
        <v>#REF!</v>
      </c>
      <c r="C458" s="70" t="s">
        <v>597</v>
      </c>
      <c r="D458" s="58"/>
      <c r="E458" s="59"/>
      <c r="F458" s="59"/>
      <c r="G458" s="59"/>
      <c r="H458" s="60"/>
      <c r="I458" s="32"/>
      <c r="J458" s="60"/>
      <c r="K458" s="61"/>
      <c r="L458" s="32"/>
      <c r="M458" s="65"/>
      <c r="N458" s="63"/>
      <c r="O458" s="64"/>
      <c r="P458" s="71"/>
      <c r="Q458" s="72"/>
      <c r="S458" s="1" t="str">
        <f t="shared" si="7"/>
        <v>B</v>
      </c>
    </row>
    <row r="459" spans="1:19" x14ac:dyDescent="0.55000000000000004">
      <c r="A459" s="1" t="e">
        <f>IF(#REF!="","",#REF!)</f>
        <v>#REF!</v>
      </c>
      <c r="C459" s="70" t="s">
        <v>598</v>
      </c>
      <c r="D459" s="58"/>
      <c r="E459" s="59"/>
      <c r="F459" s="59"/>
      <c r="G459" s="59"/>
      <c r="H459" s="60"/>
      <c r="I459" s="32"/>
      <c r="J459" s="60"/>
      <c r="K459" s="61"/>
      <c r="L459" s="32"/>
      <c r="M459" s="65"/>
      <c r="N459" s="63"/>
      <c r="O459" s="64"/>
      <c r="P459" s="71"/>
      <c r="Q459" s="72"/>
      <c r="S459" s="1" t="str">
        <f t="shared" si="7"/>
        <v>B</v>
      </c>
    </row>
    <row r="460" spans="1:19" x14ac:dyDescent="0.55000000000000004">
      <c r="A460" s="1" t="e">
        <f>IF(#REF!="","",#REF!)</f>
        <v>#REF!</v>
      </c>
      <c r="C460" s="70" t="s">
        <v>599</v>
      </c>
      <c r="D460" s="58"/>
      <c r="E460" s="59"/>
      <c r="F460" s="59"/>
      <c r="G460" s="59"/>
      <c r="H460" s="60"/>
      <c r="I460" s="32"/>
      <c r="J460" s="60"/>
      <c r="K460" s="61"/>
      <c r="L460" s="32"/>
      <c r="M460" s="65"/>
      <c r="N460" s="63"/>
      <c r="O460" s="64"/>
      <c r="P460" s="71"/>
      <c r="Q460" s="72"/>
      <c r="S460" s="1" t="str">
        <f t="shared" si="7"/>
        <v>B</v>
      </c>
    </row>
    <row r="461" spans="1:19" x14ac:dyDescent="0.55000000000000004">
      <c r="A461" s="1" t="e">
        <f>IF(#REF!="","",#REF!)</f>
        <v>#REF!</v>
      </c>
      <c r="C461" s="70" t="s">
        <v>600</v>
      </c>
      <c r="D461" s="58"/>
      <c r="E461" s="59"/>
      <c r="F461" s="59"/>
      <c r="G461" s="59"/>
      <c r="H461" s="60"/>
      <c r="I461" s="32"/>
      <c r="J461" s="60"/>
      <c r="K461" s="61"/>
      <c r="L461" s="32"/>
      <c r="M461" s="65"/>
      <c r="N461" s="63"/>
      <c r="O461" s="64"/>
      <c r="P461" s="71"/>
      <c r="Q461" s="72"/>
      <c r="S461" s="1" t="str">
        <f t="shared" si="7"/>
        <v>B</v>
      </c>
    </row>
    <row r="462" spans="1:19" x14ac:dyDescent="0.55000000000000004">
      <c r="A462" s="1" t="e">
        <f>IF(#REF!="","",#REF!)</f>
        <v>#REF!</v>
      </c>
      <c r="C462" s="70" t="s">
        <v>601</v>
      </c>
      <c r="D462" s="58"/>
      <c r="E462" s="59"/>
      <c r="F462" s="59"/>
      <c r="G462" s="59"/>
      <c r="H462" s="60"/>
      <c r="I462" s="32"/>
      <c r="J462" s="60"/>
      <c r="K462" s="61"/>
      <c r="L462" s="32"/>
      <c r="M462" s="65"/>
      <c r="N462" s="63"/>
      <c r="O462" s="64"/>
      <c r="P462" s="71"/>
      <c r="Q462" s="72"/>
      <c r="S462" s="1" t="str">
        <f t="shared" si="7"/>
        <v>B</v>
      </c>
    </row>
    <row r="463" spans="1:19" x14ac:dyDescent="0.55000000000000004">
      <c r="A463" s="1" t="e">
        <f>IF(#REF!="","",#REF!)</f>
        <v>#REF!</v>
      </c>
      <c r="C463" s="70" t="s">
        <v>602</v>
      </c>
      <c r="D463" s="58"/>
      <c r="E463" s="59"/>
      <c r="F463" s="59"/>
      <c r="G463" s="59"/>
      <c r="H463" s="60"/>
      <c r="I463" s="32"/>
      <c r="J463" s="60"/>
      <c r="K463" s="61"/>
      <c r="L463" s="32"/>
      <c r="M463" s="65"/>
      <c r="N463" s="63"/>
      <c r="O463" s="64"/>
      <c r="P463" s="71"/>
      <c r="Q463" s="72"/>
      <c r="S463" s="1" t="str">
        <f t="shared" si="7"/>
        <v>B</v>
      </c>
    </row>
    <row r="464" spans="1:19" x14ac:dyDescent="0.55000000000000004">
      <c r="A464" s="1" t="e">
        <f>IF(#REF!="","",#REF!)</f>
        <v>#REF!</v>
      </c>
      <c r="C464" s="70" t="s">
        <v>603</v>
      </c>
      <c r="D464" s="58"/>
      <c r="E464" s="59"/>
      <c r="F464" s="59"/>
      <c r="G464" s="59"/>
      <c r="H464" s="60"/>
      <c r="I464" s="32"/>
      <c r="J464" s="60"/>
      <c r="K464" s="61"/>
      <c r="L464" s="32"/>
      <c r="M464" s="65"/>
      <c r="N464" s="63"/>
      <c r="O464" s="64"/>
      <c r="P464" s="71"/>
      <c r="Q464" s="72"/>
      <c r="S464" s="1" t="str">
        <f t="shared" si="7"/>
        <v>B</v>
      </c>
    </row>
    <row r="465" spans="1:19" x14ac:dyDescent="0.55000000000000004">
      <c r="A465" s="1" t="e">
        <f>IF(#REF!="","",#REF!)</f>
        <v>#REF!</v>
      </c>
      <c r="C465" s="70" t="s">
        <v>604</v>
      </c>
      <c r="D465" s="58"/>
      <c r="E465" s="59"/>
      <c r="F465" s="59"/>
      <c r="G465" s="59"/>
      <c r="H465" s="60"/>
      <c r="I465" s="32"/>
      <c r="J465" s="60"/>
      <c r="K465" s="61"/>
      <c r="L465" s="32"/>
      <c r="M465" s="65"/>
      <c r="N465" s="63"/>
      <c r="O465" s="64"/>
      <c r="P465" s="71"/>
      <c r="Q465" s="72"/>
      <c r="S465" s="1" t="str">
        <f t="shared" si="7"/>
        <v>B</v>
      </c>
    </row>
    <row r="466" spans="1:19" x14ac:dyDescent="0.55000000000000004">
      <c r="A466" s="1" t="e">
        <f>IF(#REF!="","",#REF!)</f>
        <v>#REF!</v>
      </c>
      <c r="C466" s="70" t="s">
        <v>605</v>
      </c>
      <c r="D466" s="58"/>
      <c r="E466" s="59"/>
      <c r="F466" s="59"/>
      <c r="G466" s="59"/>
      <c r="H466" s="60"/>
      <c r="I466" s="32"/>
      <c r="J466" s="60"/>
      <c r="K466" s="61"/>
      <c r="L466" s="32"/>
      <c r="M466" s="65"/>
      <c r="N466" s="63"/>
      <c r="O466" s="64"/>
      <c r="P466" s="71"/>
      <c r="Q466" s="72"/>
      <c r="S466" s="1" t="str">
        <f t="shared" si="7"/>
        <v>B</v>
      </c>
    </row>
    <row r="467" spans="1:19" x14ac:dyDescent="0.55000000000000004">
      <c r="A467" s="1" t="e">
        <f>IF(#REF!="","",#REF!)</f>
        <v>#REF!</v>
      </c>
      <c r="C467" s="70" t="s">
        <v>606</v>
      </c>
      <c r="D467" s="58"/>
      <c r="E467" s="59"/>
      <c r="F467" s="59"/>
      <c r="G467" s="59"/>
      <c r="H467" s="60"/>
      <c r="I467" s="32"/>
      <c r="J467" s="60"/>
      <c r="K467" s="61"/>
      <c r="L467" s="32"/>
      <c r="M467" s="65"/>
      <c r="N467" s="63"/>
      <c r="O467" s="64"/>
      <c r="P467" s="71"/>
      <c r="Q467" s="72"/>
      <c r="S467" s="1" t="str">
        <f t="shared" si="7"/>
        <v>B</v>
      </c>
    </row>
    <row r="468" spans="1:19" x14ac:dyDescent="0.55000000000000004">
      <c r="A468" s="1" t="e">
        <f>IF(#REF!="","",#REF!)</f>
        <v>#REF!</v>
      </c>
      <c r="C468" s="70" t="s">
        <v>607</v>
      </c>
      <c r="D468" s="58"/>
      <c r="E468" s="59"/>
      <c r="F468" s="59"/>
      <c r="G468" s="59"/>
      <c r="H468" s="60"/>
      <c r="I468" s="32"/>
      <c r="J468" s="60"/>
      <c r="K468" s="61"/>
      <c r="L468" s="32"/>
      <c r="M468" s="65"/>
      <c r="N468" s="63"/>
      <c r="O468" s="64"/>
      <c r="P468" s="71"/>
      <c r="Q468" s="72"/>
      <c r="S468" s="1" t="str">
        <f t="shared" si="7"/>
        <v>B</v>
      </c>
    </row>
    <row r="469" spans="1:19" x14ac:dyDescent="0.55000000000000004">
      <c r="A469" s="1" t="e">
        <f>IF(#REF!="","",#REF!)</f>
        <v>#REF!</v>
      </c>
      <c r="C469" s="70" t="s">
        <v>608</v>
      </c>
      <c r="D469" s="58"/>
      <c r="E469" s="59"/>
      <c r="F469" s="59"/>
      <c r="G469" s="59"/>
      <c r="H469" s="60"/>
      <c r="I469" s="32"/>
      <c r="J469" s="60"/>
      <c r="K469" s="61"/>
      <c r="L469" s="32"/>
      <c r="M469" s="65"/>
      <c r="N469" s="63"/>
      <c r="O469" s="64"/>
      <c r="P469" s="71"/>
      <c r="Q469" s="72"/>
      <c r="S469" s="1" t="str">
        <f t="shared" si="7"/>
        <v>B</v>
      </c>
    </row>
    <row r="470" spans="1:19" x14ac:dyDescent="0.55000000000000004">
      <c r="A470" s="1" t="e">
        <f>IF(#REF!="","",#REF!)</f>
        <v>#REF!</v>
      </c>
      <c r="C470" s="70" t="s">
        <v>609</v>
      </c>
      <c r="D470" s="58"/>
      <c r="E470" s="59"/>
      <c r="F470" s="59"/>
      <c r="G470" s="59"/>
      <c r="H470" s="60"/>
      <c r="I470" s="32"/>
      <c r="J470" s="60"/>
      <c r="K470" s="61"/>
      <c r="L470" s="32"/>
      <c r="M470" s="65"/>
      <c r="N470" s="63"/>
      <c r="O470" s="64"/>
      <c r="P470" s="71"/>
      <c r="Q470" s="72"/>
      <c r="S470" s="1" t="str">
        <f t="shared" si="7"/>
        <v>B</v>
      </c>
    </row>
    <row r="471" spans="1:19" x14ac:dyDescent="0.55000000000000004">
      <c r="A471" s="1" t="e">
        <f>IF(#REF!="","",#REF!)</f>
        <v>#REF!</v>
      </c>
      <c r="C471" s="70" t="s">
        <v>610</v>
      </c>
      <c r="D471" s="58"/>
      <c r="E471" s="59"/>
      <c r="F471" s="59"/>
      <c r="G471" s="59"/>
      <c r="H471" s="60"/>
      <c r="I471" s="32"/>
      <c r="J471" s="60"/>
      <c r="K471" s="61"/>
      <c r="L471" s="32"/>
      <c r="M471" s="65"/>
      <c r="N471" s="63"/>
      <c r="O471" s="64"/>
      <c r="P471" s="71"/>
      <c r="Q471" s="72"/>
      <c r="S471" s="1" t="str">
        <f t="shared" si="7"/>
        <v>B</v>
      </c>
    </row>
    <row r="472" spans="1:19" x14ac:dyDescent="0.55000000000000004">
      <c r="A472" s="1" t="e">
        <f>IF(#REF!="","",#REF!)</f>
        <v>#REF!</v>
      </c>
      <c r="C472" s="70" t="s">
        <v>611</v>
      </c>
      <c r="D472" s="58"/>
      <c r="E472" s="59"/>
      <c r="F472" s="59"/>
      <c r="G472" s="59"/>
      <c r="H472" s="60"/>
      <c r="I472" s="32"/>
      <c r="J472" s="60"/>
      <c r="K472" s="61"/>
      <c r="L472" s="32"/>
      <c r="M472" s="65"/>
      <c r="N472" s="63"/>
      <c r="O472" s="64"/>
      <c r="P472" s="71"/>
      <c r="Q472" s="72"/>
      <c r="S472" s="1" t="str">
        <f t="shared" si="7"/>
        <v>B</v>
      </c>
    </row>
    <row r="473" spans="1:19" x14ac:dyDescent="0.55000000000000004">
      <c r="A473" s="1" t="e">
        <f>IF(#REF!="","",#REF!)</f>
        <v>#REF!</v>
      </c>
      <c r="C473" s="70" t="s">
        <v>612</v>
      </c>
      <c r="D473" s="58"/>
      <c r="E473" s="59"/>
      <c r="F473" s="59"/>
      <c r="G473" s="59"/>
      <c r="H473" s="60"/>
      <c r="I473" s="32"/>
      <c r="J473" s="60"/>
      <c r="K473" s="61"/>
      <c r="L473" s="32"/>
      <c r="M473" s="65"/>
      <c r="N473" s="63"/>
      <c r="O473" s="64"/>
      <c r="P473" s="71"/>
      <c r="Q473" s="72"/>
      <c r="S473" s="1" t="str">
        <f t="shared" si="7"/>
        <v>B</v>
      </c>
    </row>
    <row r="474" spans="1:19" x14ac:dyDescent="0.55000000000000004">
      <c r="A474" s="1" t="e">
        <f>IF(#REF!="","",#REF!)</f>
        <v>#REF!</v>
      </c>
      <c r="C474" s="70" t="s">
        <v>613</v>
      </c>
      <c r="D474" s="58"/>
      <c r="E474" s="59"/>
      <c r="F474" s="59"/>
      <c r="G474" s="59"/>
      <c r="H474" s="60"/>
      <c r="I474" s="32"/>
      <c r="J474" s="60"/>
      <c r="K474" s="61"/>
      <c r="L474" s="32"/>
      <c r="M474" s="65"/>
      <c r="N474" s="63"/>
      <c r="O474" s="64"/>
      <c r="P474" s="71"/>
      <c r="Q474" s="72"/>
      <c r="S474" s="1" t="str">
        <f t="shared" si="7"/>
        <v>B</v>
      </c>
    </row>
    <row r="475" spans="1:19" x14ac:dyDescent="0.55000000000000004">
      <c r="A475" s="1" t="e">
        <f>IF(#REF!="","",#REF!)</f>
        <v>#REF!</v>
      </c>
      <c r="C475" s="70" t="s">
        <v>614</v>
      </c>
      <c r="D475" s="58"/>
      <c r="E475" s="59"/>
      <c r="F475" s="59"/>
      <c r="G475" s="59"/>
      <c r="H475" s="60"/>
      <c r="I475" s="32"/>
      <c r="J475" s="60"/>
      <c r="K475" s="61"/>
      <c r="L475" s="32"/>
      <c r="M475" s="65"/>
      <c r="N475" s="63"/>
      <c r="O475" s="64"/>
      <c r="P475" s="71"/>
      <c r="Q475" s="72"/>
      <c r="S475" s="1" t="str">
        <f t="shared" si="7"/>
        <v>B</v>
      </c>
    </row>
    <row r="476" spans="1:19" x14ac:dyDescent="0.55000000000000004">
      <c r="A476" s="1" t="e">
        <f>IF(#REF!="","",#REF!)</f>
        <v>#REF!</v>
      </c>
      <c r="C476" s="70" t="s">
        <v>615</v>
      </c>
      <c r="D476" s="58"/>
      <c r="E476" s="59"/>
      <c r="F476" s="59"/>
      <c r="G476" s="59"/>
      <c r="H476" s="60"/>
      <c r="I476" s="32"/>
      <c r="J476" s="60"/>
      <c r="K476" s="61"/>
      <c r="L476" s="32"/>
      <c r="M476" s="65"/>
      <c r="N476" s="63"/>
      <c r="O476" s="64"/>
      <c r="P476" s="71"/>
      <c r="Q476" s="72"/>
      <c r="S476" s="1" t="str">
        <f t="shared" si="7"/>
        <v>B</v>
      </c>
    </row>
    <row r="477" spans="1:19" x14ac:dyDescent="0.55000000000000004">
      <c r="A477" s="1" t="e">
        <f>IF(#REF!="","",#REF!)</f>
        <v>#REF!</v>
      </c>
      <c r="C477" s="70" t="s">
        <v>616</v>
      </c>
      <c r="D477" s="58"/>
      <c r="E477" s="59"/>
      <c r="F477" s="59"/>
      <c r="G477" s="59"/>
      <c r="H477" s="60"/>
      <c r="I477" s="32"/>
      <c r="J477" s="60"/>
      <c r="K477" s="61"/>
      <c r="L477" s="32"/>
      <c r="M477" s="65"/>
      <c r="N477" s="63"/>
      <c r="O477" s="64"/>
      <c r="P477" s="71"/>
      <c r="Q477" s="72"/>
      <c r="S477" s="1" t="str">
        <f t="shared" si="7"/>
        <v>B</v>
      </c>
    </row>
    <row r="478" spans="1:19" x14ac:dyDescent="0.55000000000000004">
      <c r="A478" s="1" t="e">
        <f>IF(#REF!="","",#REF!)</f>
        <v>#REF!</v>
      </c>
      <c r="C478" s="70" t="s">
        <v>617</v>
      </c>
      <c r="D478" s="58"/>
      <c r="E478" s="59"/>
      <c r="F478" s="59"/>
      <c r="G478" s="59"/>
      <c r="H478" s="60"/>
      <c r="I478" s="32"/>
      <c r="J478" s="60"/>
      <c r="K478" s="61"/>
      <c r="L478" s="32"/>
      <c r="M478" s="65"/>
      <c r="N478" s="63"/>
      <c r="O478" s="64"/>
      <c r="P478" s="71"/>
      <c r="Q478" s="72"/>
      <c r="S478" s="1" t="str">
        <f t="shared" si="7"/>
        <v>B</v>
      </c>
    </row>
    <row r="479" spans="1:19" x14ac:dyDescent="0.55000000000000004">
      <c r="A479" s="1" t="e">
        <f>IF(#REF!="","",#REF!)</f>
        <v>#REF!</v>
      </c>
      <c r="C479" s="70" t="s">
        <v>618</v>
      </c>
      <c r="D479" s="58"/>
      <c r="E479" s="59"/>
      <c r="F479" s="59"/>
      <c r="G479" s="59"/>
      <c r="H479" s="60"/>
      <c r="I479" s="32"/>
      <c r="J479" s="60"/>
      <c r="K479" s="61"/>
      <c r="L479" s="32"/>
      <c r="M479" s="65"/>
      <c r="N479" s="63"/>
      <c r="O479" s="64"/>
      <c r="P479" s="71"/>
      <c r="Q479" s="72"/>
      <c r="S479" s="1" t="str">
        <f t="shared" si="7"/>
        <v>B</v>
      </c>
    </row>
    <row r="480" spans="1:19" x14ac:dyDescent="0.55000000000000004">
      <c r="A480" s="1" t="e">
        <f>IF(#REF!="","",#REF!)</f>
        <v>#REF!</v>
      </c>
      <c r="C480" s="70" t="s">
        <v>619</v>
      </c>
      <c r="D480" s="58"/>
      <c r="E480" s="59"/>
      <c r="F480" s="59"/>
      <c r="G480" s="59"/>
      <c r="H480" s="60"/>
      <c r="I480" s="32"/>
      <c r="J480" s="60"/>
      <c r="K480" s="61"/>
      <c r="L480" s="32"/>
      <c r="M480" s="65"/>
      <c r="N480" s="63"/>
      <c r="O480" s="64"/>
      <c r="P480" s="71"/>
      <c r="Q480" s="72"/>
      <c r="S480" s="1" t="str">
        <f t="shared" si="7"/>
        <v>B</v>
      </c>
    </row>
    <row r="481" spans="1:19" x14ac:dyDescent="0.55000000000000004">
      <c r="A481" s="1" t="e">
        <f>IF(#REF!="","",#REF!)</f>
        <v>#REF!</v>
      </c>
      <c r="C481" s="70" t="s">
        <v>620</v>
      </c>
      <c r="D481" s="58"/>
      <c r="E481" s="59"/>
      <c r="F481" s="59"/>
      <c r="G481" s="59"/>
      <c r="H481" s="60"/>
      <c r="I481" s="32"/>
      <c r="J481" s="60"/>
      <c r="K481" s="61"/>
      <c r="L481" s="32"/>
      <c r="M481" s="65"/>
      <c r="N481" s="63"/>
      <c r="O481" s="64"/>
      <c r="P481" s="71"/>
      <c r="Q481" s="72"/>
      <c r="S481" s="1" t="str">
        <f t="shared" si="7"/>
        <v>B</v>
      </c>
    </row>
    <row r="482" spans="1:19" x14ac:dyDescent="0.55000000000000004">
      <c r="A482" s="1" t="e">
        <f>IF(#REF!="","",#REF!)</f>
        <v>#REF!</v>
      </c>
      <c r="C482" s="70" t="s">
        <v>621</v>
      </c>
      <c r="D482" s="58"/>
      <c r="E482" s="59"/>
      <c r="F482" s="59"/>
      <c r="G482" s="59"/>
      <c r="H482" s="60"/>
      <c r="I482" s="32"/>
      <c r="J482" s="60"/>
      <c r="K482" s="61"/>
      <c r="L482" s="32"/>
      <c r="M482" s="65"/>
      <c r="N482" s="63"/>
      <c r="O482" s="64"/>
      <c r="P482" s="71"/>
      <c r="Q482" s="72"/>
      <c r="S482" s="1" t="str">
        <f t="shared" si="7"/>
        <v>B</v>
      </c>
    </row>
    <row r="483" spans="1:19" x14ac:dyDescent="0.55000000000000004">
      <c r="A483" s="1" t="e">
        <f>IF(#REF!="","",#REF!)</f>
        <v>#REF!</v>
      </c>
      <c r="C483" s="70" t="s">
        <v>622</v>
      </c>
      <c r="D483" s="58"/>
      <c r="E483" s="59"/>
      <c r="F483" s="59"/>
      <c r="G483" s="59"/>
      <c r="H483" s="60"/>
      <c r="I483" s="32"/>
      <c r="J483" s="60"/>
      <c r="K483" s="61"/>
      <c r="L483" s="32"/>
      <c r="M483" s="65"/>
      <c r="N483" s="63"/>
      <c r="O483" s="64"/>
      <c r="P483" s="71"/>
      <c r="Q483" s="72"/>
      <c r="S483" s="1" t="str">
        <f t="shared" si="7"/>
        <v>B</v>
      </c>
    </row>
    <row r="484" spans="1:19" x14ac:dyDescent="0.55000000000000004">
      <c r="A484" s="1" t="e">
        <f>IF(#REF!="","",#REF!)</f>
        <v>#REF!</v>
      </c>
      <c r="C484" s="70" t="s">
        <v>623</v>
      </c>
      <c r="D484" s="58"/>
      <c r="E484" s="59"/>
      <c r="F484" s="59"/>
      <c r="G484" s="59"/>
      <c r="H484" s="60"/>
      <c r="I484" s="32"/>
      <c r="J484" s="60"/>
      <c r="K484" s="61"/>
      <c r="L484" s="32"/>
      <c r="M484" s="65"/>
      <c r="N484" s="63"/>
      <c r="O484" s="64"/>
      <c r="P484" s="71"/>
      <c r="Q484" s="72"/>
      <c r="S484" s="1" t="str">
        <f t="shared" si="7"/>
        <v>B</v>
      </c>
    </row>
    <row r="485" spans="1:19" x14ac:dyDescent="0.55000000000000004">
      <c r="A485" s="1" t="e">
        <f>IF(#REF!="","",#REF!)</f>
        <v>#REF!</v>
      </c>
      <c r="C485" s="70" t="s">
        <v>624</v>
      </c>
      <c r="D485" s="58"/>
      <c r="E485" s="59"/>
      <c r="F485" s="59"/>
      <c r="G485" s="59"/>
      <c r="H485" s="60"/>
      <c r="I485" s="32"/>
      <c r="J485" s="60"/>
      <c r="K485" s="61"/>
      <c r="L485" s="32"/>
      <c r="M485" s="65"/>
      <c r="N485" s="63"/>
      <c r="O485" s="64"/>
      <c r="P485" s="71"/>
      <c r="Q485" s="72"/>
      <c r="S485" s="1" t="str">
        <f t="shared" si="7"/>
        <v>B</v>
      </c>
    </row>
    <row r="486" spans="1:19" x14ac:dyDescent="0.55000000000000004">
      <c r="A486" s="1" t="e">
        <f>IF(#REF!="","",#REF!)</f>
        <v>#REF!</v>
      </c>
      <c r="C486" s="70" t="s">
        <v>625</v>
      </c>
      <c r="D486" s="58"/>
      <c r="E486" s="59"/>
      <c r="F486" s="59"/>
      <c r="G486" s="59"/>
      <c r="H486" s="60"/>
      <c r="I486" s="32"/>
      <c r="J486" s="60"/>
      <c r="K486" s="61"/>
      <c r="L486" s="32"/>
      <c r="M486" s="65"/>
      <c r="N486" s="63"/>
      <c r="O486" s="64"/>
      <c r="P486" s="71"/>
      <c r="Q486" s="72"/>
      <c r="S486" s="1" t="str">
        <f t="shared" si="7"/>
        <v>B</v>
      </c>
    </row>
    <row r="487" spans="1:19" x14ac:dyDescent="0.55000000000000004">
      <c r="A487" s="1" t="e">
        <f>IF(#REF!="","",#REF!)</f>
        <v>#REF!</v>
      </c>
      <c r="C487" s="70" t="s">
        <v>626</v>
      </c>
      <c r="D487" s="58"/>
      <c r="E487" s="59"/>
      <c r="F487" s="59"/>
      <c r="G487" s="59"/>
      <c r="H487" s="60"/>
      <c r="I487" s="32"/>
      <c r="J487" s="60"/>
      <c r="K487" s="61"/>
      <c r="L487" s="32"/>
      <c r="M487" s="65"/>
      <c r="N487" s="63"/>
      <c r="O487" s="64"/>
      <c r="P487" s="71"/>
      <c r="Q487" s="72"/>
      <c r="S487" s="1" t="str">
        <f t="shared" si="7"/>
        <v>B</v>
      </c>
    </row>
    <row r="488" spans="1:19" x14ac:dyDescent="0.55000000000000004">
      <c r="A488" s="1" t="e">
        <f>IF(#REF!="","",#REF!)</f>
        <v>#REF!</v>
      </c>
      <c r="C488" s="70" t="s">
        <v>627</v>
      </c>
      <c r="D488" s="58"/>
      <c r="E488" s="59"/>
      <c r="F488" s="59"/>
      <c r="G488" s="59"/>
      <c r="H488" s="60"/>
      <c r="I488" s="32"/>
      <c r="J488" s="60"/>
      <c r="K488" s="61"/>
      <c r="L488" s="32"/>
      <c r="M488" s="65"/>
      <c r="N488" s="63"/>
      <c r="O488" s="64"/>
      <c r="P488" s="71"/>
      <c r="Q488" s="72"/>
      <c r="S488" s="1" t="str">
        <f t="shared" si="7"/>
        <v>B</v>
      </c>
    </row>
    <row r="489" spans="1:19" x14ac:dyDescent="0.55000000000000004">
      <c r="A489" s="1" t="e">
        <f>IF(#REF!="","",#REF!)</f>
        <v>#REF!</v>
      </c>
      <c r="C489" s="70" t="s">
        <v>628</v>
      </c>
      <c r="D489" s="58"/>
      <c r="E489" s="59"/>
      <c r="F489" s="59"/>
      <c r="G489" s="59"/>
      <c r="H489" s="60"/>
      <c r="I489" s="32"/>
      <c r="J489" s="60"/>
      <c r="K489" s="61"/>
      <c r="L489" s="32"/>
      <c r="M489" s="65"/>
      <c r="N489" s="63"/>
      <c r="O489" s="64"/>
      <c r="P489" s="71"/>
      <c r="Q489" s="72"/>
      <c r="S489" s="1" t="str">
        <f t="shared" si="7"/>
        <v>B</v>
      </c>
    </row>
    <row r="490" spans="1:19" x14ac:dyDescent="0.55000000000000004">
      <c r="A490" s="1" t="e">
        <f>IF(#REF!="","",#REF!)</f>
        <v>#REF!</v>
      </c>
      <c r="C490" s="70" t="s">
        <v>629</v>
      </c>
      <c r="D490" s="58"/>
      <c r="E490" s="59"/>
      <c r="F490" s="59"/>
      <c r="G490" s="59"/>
      <c r="H490" s="60"/>
      <c r="I490" s="32"/>
      <c r="J490" s="60"/>
      <c r="K490" s="61"/>
      <c r="L490" s="32"/>
      <c r="M490" s="65"/>
      <c r="N490" s="63"/>
      <c r="O490" s="64"/>
      <c r="P490" s="71"/>
      <c r="Q490" s="72"/>
      <c r="S490" s="1" t="str">
        <f t="shared" ref="S490:S506" si="8">IF(E490="キャンセル","",IF(G490="故障","A",IF(G490="紛失・盗難","A",IF(G490="キッティング","A","B"))))</f>
        <v>B</v>
      </c>
    </row>
    <row r="491" spans="1:19" x14ac:dyDescent="0.55000000000000004">
      <c r="A491" s="1" t="e">
        <f>IF(#REF!="","",#REF!)</f>
        <v>#REF!</v>
      </c>
      <c r="C491" s="70" t="s">
        <v>630</v>
      </c>
      <c r="D491" s="58"/>
      <c r="E491" s="59"/>
      <c r="F491" s="59"/>
      <c r="G491" s="59"/>
      <c r="H491" s="60"/>
      <c r="I491" s="32"/>
      <c r="J491" s="60"/>
      <c r="K491" s="61"/>
      <c r="L491" s="32"/>
      <c r="M491" s="65"/>
      <c r="N491" s="63"/>
      <c r="O491" s="64"/>
      <c r="P491" s="71"/>
      <c r="Q491" s="72"/>
      <c r="S491" s="1" t="str">
        <f t="shared" si="8"/>
        <v>B</v>
      </c>
    </row>
    <row r="492" spans="1:19" x14ac:dyDescent="0.55000000000000004">
      <c r="A492" s="1" t="e">
        <f>IF(#REF!="","",#REF!)</f>
        <v>#REF!</v>
      </c>
      <c r="C492" s="70" t="s">
        <v>631</v>
      </c>
      <c r="D492" s="58"/>
      <c r="E492" s="59"/>
      <c r="F492" s="59"/>
      <c r="G492" s="59"/>
      <c r="H492" s="60"/>
      <c r="I492" s="32"/>
      <c r="J492" s="60"/>
      <c r="K492" s="61"/>
      <c r="L492" s="32"/>
      <c r="M492" s="65"/>
      <c r="N492" s="63"/>
      <c r="O492" s="64"/>
      <c r="P492" s="71"/>
      <c r="Q492" s="72"/>
      <c r="S492" s="1" t="str">
        <f t="shared" si="8"/>
        <v>B</v>
      </c>
    </row>
    <row r="493" spans="1:19" x14ac:dyDescent="0.55000000000000004">
      <c r="A493" s="1" t="e">
        <f>IF(#REF!="","",#REF!)</f>
        <v>#REF!</v>
      </c>
      <c r="C493" s="70" t="s">
        <v>632</v>
      </c>
      <c r="D493" s="58"/>
      <c r="E493" s="59"/>
      <c r="F493" s="59"/>
      <c r="G493" s="59"/>
      <c r="H493" s="60"/>
      <c r="I493" s="32"/>
      <c r="J493" s="60"/>
      <c r="K493" s="61"/>
      <c r="L493" s="32"/>
      <c r="M493" s="65"/>
      <c r="N493" s="63"/>
      <c r="O493" s="64"/>
      <c r="P493" s="71"/>
      <c r="Q493" s="72"/>
      <c r="S493" s="1" t="str">
        <f t="shared" si="8"/>
        <v>B</v>
      </c>
    </row>
    <row r="494" spans="1:19" x14ac:dyDescent="0.55000000000000004">
      <c r="A494" s="1" t="e">
        <f>IF(#REF!="","",#REF!)</f>
        <v>#REF!</v>
      </c>
      <c r="C494" s="70" t="s">
        <v>633</v>
      </c>
      <c r="D494" s="58"/>
      <c r="E494" s="59"/>
      <c r="F494" s="59"/>
      <c r="G494" s="59"/>
      <c r="H494" s="60"/>
      <c r="I494" s="32"/>
      <c r="J494" s="60"/>
      <c r="K494" s="61"/>
      <c r="L494" s="32"/>
      <c r="M494" s="65"/>
      <c r="N494" s="63"/>
      <c r="O494" s="64"/>
      <c r="P494" s="71"/>
      <c r="Q494" s="72"/>
      <c r="S494" s="1" t="str">
        <f t="shared" si="8"/>
        <v>B</v>
      </c>
    </row>
    <row r="495" spans="1:19" x14ac:dyDescent="0.55000000000000004">
      <c r="A495" s="1" t="e">
        <f>IF(#REF!="","",#REF!)</f>
        <v>#REF!</v>
      </c>
      <c r="C495" s="70" t="s">
        <v>634</v>
      </c>
      <c r="D495" s="58"/>
      <c r="E495" s="59"/>
      <c r="F495" s="59"/>
      <c r="G495" s="59"/>
      <c r="H495" s="60"/>
      <c r="I495" s="32"/>
      <c r="J495" s="60"/>
      <c r="K495" s="61"/>
      <c r="L495" s="32"/>
      <c r="M495" s="65"/>
      <c r="N495" s="63"/>
      <c r="O495" s="64"/>
      <c r="P495" s="71"/>
      <c r="Q495" s="72"/>
      <c r="S495" s="1" t="str">
        <f t="shared" si="8"/>
        <v>B</v>
      </c>
    </row>
    <row r="496" spans="1:19" x14ac:dyDescent="0.55000000000000004">
      <c r="A496" s="1" t="e">
        <f>IF(#REF!="","",#REF!)</f>
        <v>#REF!</v>
      </c>
      <c r="C496" s="70" t="s">
        <v>635</v>
      </c>
      <c r="D496" s="58"/>
      <c r="E496" s="59"/>
      <c r="F496" s="59"/>
      <c r="G496" s="59"/>
      <c r="H496" s="60"/>
      <c r="I496" s="32"/>
      <c r="J496" s="60"/>
      <c r="K496" s="61"/>
      <c r="L496" s="32"/>
      <c r="M496" s="65"/>
      <c r="N496" s="63"/>
      <c r="O496" s="64"/>
      <c r="P496" s="71"/>
      <c r="Q496" s="72"/>
      <c r="S496" s="1" t="str">
        <f t="shared" si="8"/>
        <v>B</v>
      </c>
    </row>
    <row r="497" spans="1:19" x14ac:dyDescent="0.55000000000000004">
      <c r="A497" s="1" t="e">
        <f>IF(#REF!="","",#REF!)</f>
        <v>#REF!</v>
      </c>
      <c r="C497" s="70" t="s">
        <v>636</v>
      </c>
      <c r="D497" s="58"/>
      <c r="E497" s="59"/>
      <c r="F497" s="59"/>
      <c r="G497" s="59"/>
      <c r="H497" s="60"/>
      <c r="I497" s="32"/>
      <c r="J497" s="60"/>
      <c r="K497" s="61"/>
      <c r="L497" s="32"/>
      <c r="M497" s="65"/>
      <c r="N497" s="63"/>
      <c r="O497" s="64"/>
      <c r="P497" s="71"/>
      <c r="Q497" s="72"/>
      <c r="S497" s="1" t="str">
        <f t="shared" si="8"/>
        <v>B</v>
      </c>
    </row>
    <row r="498" spans="1:19" x14ac:dyDescent="0.55000000000000004">
      <c r="A498" s="1" t="e">
        <f>IF(#REF!="","",#REF!)</f>
        <v>#REF!</v>
      </c>
      <c r="C498" s="70" t="s">
        <v>637</v>
      </c>
      <c r="D498" s="58"/>
      <c r="E498" s="59"/>
      <c r="F498" s="59"/>
      <c r="G498" s="59"/>
      <c r="H498" s="60"/>
      <c r="I498" s="32"/>
      <c r="J498" s="60"/>
      <c r="K498" s="61"/>
      <c r="L498" s="32"/>
      <c r="M498" s="65"/>
      <c r="N498" s="63"/>
      <c r="O498" s="64"/>
      <c r="P498" s="71"/>
      <c r="Q498" s="72"/>
      <c r="S498" s="1" t="str">
        <f t="shared" si="8"/>
        <v>B</v>
      </c>
    </row>
    <row r="499" spans="1:19" x14ac:dyDescent="0.55000000000000004">
      <c r="A499" s="1" t="e">
        <f>IF(#REF!="","",#REF!)</f>
        <v>#REF!</v>
      </c>
      <c r="C499" s="70" t="s">
        <v>638</v>
      </c>
      <c r="D499" s="58"/>
      <c r="E499" s="59"/>
      <c r="F499" s="59"/>
      <c r="G499" s="59"/>
      <c r="H499" s="60"/>
      <c r="I499" s="32"/>
      <c r="J499" s="60"/>
      <c r="K499" s="61"/>
      <c r="L499" s="32"/>
      <c r="M499" s="65"/>
      <c r="N499" s="63"/>
      <c r="O499" s="64"/>
      <c r="P499" s="71"/>
      <c r="Q499" s="72"/>
      <c r="S499" s="1" t="str">
        <f t="shared" si="8"/>
        <v>B</v>
      </c>
    </row>
    <row r="500" spans="1:19" x14ac:dyDescent="0.55000000000000004">
      <c r="A500" s="1" t="e">
        <f>IF(#REF!="","",#REF!)</f>
        <v>#REF!</v>
      </c>
      <c r="C500" s="70" t="s">
        <v>639</v>
      </c>
      <c r="D500" s="58"/>
      <c r="E500" s="59"/>
      <c r="F500" s="59"/>
      <c r="G500" s="59"/>
      <c r="H500" s="60"/>
      <c r="I500" s="32"/>
      <c r="J500" s="60"/>
      <c r="K500" s="61"/>
      <c r="L500" s="32"/>
      <c r="M500" s="65"/>
      <c r="N500" s="63"/>
      <c r="O500" s="64"/>
      <c r="P500" s="71"/>
      <c r="Q500" s="72"/>
      <c r="S500" s="1" t="str">
        <f t="shared" si="8"/>
        <v>B</v>
      </c>
    </row>
    <row r="501" spans="1:19" x14ac:dyDescent="0.55000000000000004">
      <c r="A501" s="1" t="e">
        <f>IF(#REF!="","",#REF!)</f>
        <v>#REF!</v>
      </c>
      <c r="C501" s="70" t="s">
        <v>640</v>
      </c>
      <c r="D501" s="58"/>
      <c r="E501" s="59"/>
      <c r="F501" s="59"/>
      <c r="G501" s="59"/>
      <c r="H501" s="60"/>
      <c r="I501" s="32"/>
      <c r="J501" s="60"/>
      <c r="K501" s="61"/>
      <c r="L501" s="32"/>
      <c r="M501" s="65"/>
      <c r="N501" s="63"/>
      <c r="O501" s="64"/>
      <c r="P501" s="71"/>
      <c r="Q501" s="72"/>
      <c r="S501" s="1" t="str">
        <f t="shared" si="8"/>
        <v>B</v>
      </c>
    </row>
    <row r="502" spans="1:19" x14ac:dyDescent="0.55000000000000004">
      <c r="A502" s="1" t="e">
        <f>IF(#REF!="","",#REF!)</f>
        <v>#REF!</v>
      </c>
      <c r="C502" s="70" t="s">
        <v>641</v>
      </c>
      <c r="D502" s="58"/>
      <c r="E502" s="59"/>
      <c r="F502" s="59"/>
      <c r="G502" s="59"/>
      <c r="H502" s="60"/>
      <c r="I502" s="32"/>
      <c r="J502" s="60"/>
      <c r="K502" s="61"/>
      <c r="L502" s="32"/>
      <c r="M502" s="65"/>
      <c r="N502" s="63"/>
      <c r="O502" s="64"/>
      <c r="P502" s="71"/>
      <c r="Q502" s="72"/>
      <c r="S502" s="1" t="str">
        <f t="shared" si="8"/>
        <v>B</v>
      </c>
    </row>
    <row r="503" spans="1:19" x14ac:dyDescent="0.55000000000000004">
      <c r="A503" s="1" t="e">
        <f>IF(#REF!="","",#REF!)</f>
        <v>#REF!</v>
      </c>
      <c r="C503" s="70" t="s">
        <v>642</v>
      </c>
      <c r="D503" s="58"/>
      <c r="E503" s="59"/>
      <c r="F503" s="59"/>
      <c r="G503" s="59"/>
      <c r="H503" s="60"/>
      <c r="I503" s="32"/>
      <c r="J503" s="60"/>
      <c r="K503" s="61"/>
      <c r="L503" s="32"/>
      <c r="M503" s="65"/>
      <c r="N503" s="63"/>
      <c r="O503" s="64"/>
      <c r="P503" s="71"/>
      <c r="Q503" s="72"/>
      <c r="S503" s="1" t="str">
        <f t="shared" si="8"/>
        <v>B</v>
      </c>
    </row>
    <row r="504" spans="1:19" x14ac:dyDescent="0.55000000000000004">
      <c r="A504" s="1" t="e">
        <f>IF(#REF!="","",#REF!)</f>
        <v>#REF!</v>
      </c>
      <c r="C504" s="70" t="s">
        <v>643</v>
      </c>
      <c r="D504" s="58"/>
      <c r="E504" s="59"/>
      <c r="F504" s="59"/>
      <c r="G504" s="59"/>
      <c r="H504" s="60"/>
      <c r="I504" s="32"/>
      <c r="J504" s="60"/>
      <c r="K504" s="61"/>
      <c r="L504" s="32"/>
      <c r="M504" s="65"/>
      <c r="N504" s="63"/>
      <c r="O504" s="64"/>
      <c r="P504" s="71"/>
      <c r="Q504" s="72"/>
      <c r="S504" s="1" t="str">
        <f t="shared" si="8"/>
        <v>B</v>
      </c>
    </row>
    <row r="505" spans="1:19" x14ac:dyDescent="0.55000000000000004">
      <c r="A505" s="1" t="e">
        <f>IF(#REF!="","",#REF!)</f>
        <v>#REF!</v>
      </c>
      <c r="C505" s="70" t="s">
        <v>644</v>
      </c>
      <c r="D505" s="58"/>
      <c r="E505" s="59"/>
      <c r="F505" s="59"/>
      <c r="G505" s="59"/>
      <c r="H505" s="60"/>
      <c r="I505" s="32"/>
      <c r="J505" s="60"/>
      <c r="K505" s="61"/>
      <c r="L505" s="32"/>
      <c r="M505" s="65"/>
      <c r="N505" s="63"/>
      <c r="O505" s="64"/>
      <c r="P505" s="71"/>
      <c r="Q505" s="72"/>
      <c r="S505" s="1" t="str">
        <f t="shared" si="8"/>
        <v>B</v>
      </c>
    </row>
    <row r="506" spans="1:19" x14ac:dyDescent="0.55000000000000004">
      <c r="A506" s="1" t="e">
        <f>IF(#REF!="","",#REF!)</f>
        <v>#REF!</v>
      </c>
      <c r="C506" s="70" t="s">
        <v>645</v>
      </c>
      <c r="D506" s="58"/>
      <c r="E506" s="59"/>
      <c r="F506" s="59"/>
      <c r="G506" s="59"/>
      <c r="H506" s="60"/>
      <c r="I506" s="32"/>
      <c r="J506" s="60"/>
      <c r="K506" s="61"/>
      <c r="L506" s="32"/>
      <c r="M506" s="65"/>
      <c r="N506" s="63"/>
      <c r="O506" s="64"/>
      <c r="P506" s="71"/>
      <c r="Q506" s="72"/>
      <c r="S506" s="1" t="str">
        <f t="shared" si="8"/>
        <v>B</v>
      </c>
    </row>
  </sheetData>
  <autoFilter ref="A6:U506" xr:uid="{00000000-0001-0000-0000-000000000000}">
    <filterColumn colId="15" showButton="0"/>
  </autoFilter>
  <mergeCells count="509">
    <mergeCell ref="C5:C6"/>
    <mergeCell ref="D5:D6"/>
    <mergeCell ref="E5:E6"/>
    <mergeCell ref="F5:F6"/>
    <mergeCell ref="G5:G6"/>
    <mergeCell ref="H5:H6"/>
    <mergeCell ref="I5:I6"/>
    <mergeCell ref="J5:J6"/>
    <mergeCell ref="P11:Q11"/>
    <mergeCell ref="P12:Q12"/>
    <mergeCell ref="P13:Q13"/>
    <mergeCell ref="P14:Q14"/>
    <mergeCell ref="P15:Q15"/>
    <mergeCell ref="P16:Q16"/>
    <mergeCell ref="P5:Q6"/>
    <mergeCell ref="P7:Q7"/>
    <mergeCell ref="P8:Q8"/>
    <mergeCell ref="P9:Q9"/>
    <mergeCell ref="P10:Q10"/>
    <mergeCell ref="P23:Q23"/>
    <mergeCell ref="P24:Q24"/>
    <mergeCell ref="P25:Q25"/>
    <mergeCell ref="P26:Q26"/>
    <mergeCell ref="P27:Q27"/>
    <mergeCell ref="P28:Q28"/>
    <mergeCell ref="P17:Q17"/>
    <mergeCell ref="P18:Q18"/>
    <mergeCell ref="P19:Q19"/>
    <mergeCell ref="P20:Q20"/>
    <mergeCell ref="P21:Q21"/>
    <mergeCell ref="P22:Q22"/>
    <mergeCell ref="P35:Q35"/>
    <mergeCell ref="P36:Q36"/>
    <mergeCell ref="P37:Q37"/>
    <mergeCell ref="P38:Q38"/>
    <mergeCell ref="P39:Q39"/>
    <mergeCell ref="P40:Q40"/>
    <mergeCell ref="P29:Q29"/>
    <mergeCell ref="P30:Q30"/>
    <mergeCell ref="P31:Q31"/>
    <mergeCell ref="P32:Q32"/>
    <mergeCell ref="P33:Q33"/>
    <mergeCell ref="P34:Q34"/>
    <mergeCell ref="P47:Q47"/>
    <mergeCell ref="P48:Q48"/>
    <mergeCell ref="P49:Q49"/>
    <mergeCell ref="P50:Q50"/>
    <mergeCell ref="P51:Q51"/>
    <mergeCell ref="P52:Q52"/>
    <mergeCell ref="P41:Q41"/>
    <mergeCell ref="P42:Q42"/>
    <mergeCell ref="P43:Q43"/>
    <mergeCell ref="P44:Q44"/>
    <mergeCell ref="P45:Q45"/>
    <mergeCell ref="P46:Q46"/>
    <mergeCell ref="P59:Q59"/>
    <mergeCell ref="P60:Q60"/>
    <mergeCell ref="P61:Q61"/>
    <mergeCell ref="P62:Q62"/>
    <mergeCell ref="P63:Q63"/>
    <mergeCell ref="P64:Q64"/>
    <mergeCell ref="P53:Q53"/>
    <mergeCell ref="P54:Q54"/>
    <mergeCell ref="P55:Q55"/>
    <mergeCell ref="P56:Q56"/>
    <mergeCell ref="P57:Q57"/>
    <mergeCell ref="P58:Q58"/>
    <mergeCell ref="P71:Q71"/>
    <mergeCell ref="P72:Q72"/>
    <mergeCell ref="P73:Q73"/>
    <mergeCell ref="P74:Q74"/>
    <mergeCell ref="P75:Q75"/>
    <mergeCell ref="P76:Q76"/>
    <mergeCell ref="P65:Q65"/>
    <mergeCell ref="P66:Q66"/>
    <mergeCell ref="P67:Q67"/>
    <mergeCell ref="P68:Q68"/>
    <mergeCell ref="P69:Q69"/>
    <mergeCell ref="P70:Q70"/>
    <mergeCell ref="P83:Q83"/>
    <mergeCell ref="P84:Q84"/>
    <mergeCell ref="P85:Q85"/>
    <mergeCell ref="P86:Q86"/>
    <mergeCell ref="P87:Q87"/>
    <mergeCell ref="P88:Q88"/>
    <mergeCell ref="P77:Q77"/>
    <mergeCell ref="P78:Q78"/>
    <mergeCell ref="P79:Q79"/>
    <mergeCell ref="P80:Q80"/>
    <mergeCell ref="P81:Q81"/>
    <mergeCell ref="P82:Q82"/>
    <mergeCell ref="P95:Q95"/>
    <mergeCell ref="P96:Q96"/>
    <mergeCell ref="P97:Q97"/>
    <mergeCell ref="P98:Q98"/>
    <mergeCell ref="P99:Q99"/>
    <mergeCell ref="P100:Q100"/>
    <mergeCell ref="P89:Q89"/>
    <mergeCell ref="P90:Q90"/>
    <mergeCell ref="P91:Q91"/>
    <mergeCell ref="P92:Q92"/>
    <mergeCell ref="P93:Q93"/>
    <mergeCell ref="P94:Q94"/>
    <mergeCell ref="P107:Q107"/>
    <mergeCell ref="P108:Q108"/>
    <mergeCell ref="P109:Q109"/>
    <mergeCell ref="P110:Q110"/>
    <mergeCell ref="P111:Q111"/>
    <mergeCell ref="P112:Q112"/>
    <mergeCell ref="P101:Q101"/>
    <mergeCell ref="P102:Q102"/>
    <mergeCell ref="P103:Q103"/>
    <mergeCell ref="P104:Q104"/>
    <mergeCell ref="P105:Q105"/>
    <mergeCell ref="P106:Q106"/>
    <mergeCell ref="P119:Q119"/>
    <mergeCell ref="P120:Q120"/>
    <mergeCell ref="P121:Q121"/>
    <mergeCell ref="P122:Q122"/>
    <mergeCell ref="P123:Q123"/>
    <mergeCell ref="P124:Q124"/>
    <mergeCell ref="P113:Q113"/>
    <mergeCell ref="P114:Q114"/>
    <mergeCell ref="P115:Q115"/>
    <mergeCell ref="P116:Q116"/>
    <mergeCell ref="P117:Q117"/>
    <mergeCell ref="P118:Q118"/>
    <mergeCell ref="P131:Q131"/>
    <mergeCell ref="P132:Q132"/>
    <mergeCell ref="P133:Q133"/>
    <mergeCell ref="P134:Q134"/>
    <mergeCell ref="P135:Q135"/>
    <mergeCell ref="P136:Q136"/>
    <mergeCell ref="P125:Q125"/>
    <mergeCell ref="P126:Q126"/>
    <mergeCell ref="P127:Q127"/>
    <mergeCell ref="P128:Q128"/>
    <mergeCell ref="P129:Q129"/>
    <mergeCell ref="P130:Q130"/>
    <mergeCell ref="P143:Q143"/>
    <mergeCell ref="P144:Q144"/>
    <mergeCell ref="P145:Q145"/>
    <mergeCell ref="P146:Q146"/>
    <mergeCell ref="P147:Q147"/>
    <mergeCell ref="P148:Q148"/>
    <mergeCell ref="P137:Q137"/>
    <mergeCell ref="P138:Q138"/>
    <mergeCell ref="P139:Q139"/>
    <mergeCell ref="P140:Q140"/>
    <mergeCell ref="P141:Q141"/>
    <mergeCell ref="P142:Q142"/>
    <mergeCell ref="P155:Q155"/>
    <mergeCell ref="P156:Q156"/>
    <mergeCell ref="P157:Q157"/>
    <mergeCell ref="P158:Q158"/>
    <mergeCell ref="P159:Q159"/>
    <mergeCell ref="P160:Q160"/>
    <mergeCell ref="P149:Q149"/>
    <mergeCell ref="P150:Q150"/>
    <mergeCell ref="P151:Q151"/>
    <mergeCell ref="P152:Q152"/>
    <mergeCell ref="P153:Q153"/>
    <mergeCell ref="P154:Q154"/>
    <mergeCell ref="P167:Q167"/>
    <mergeCell ref="P168:Q168"/>
    <mergeCell ref="P169:Q169"/>
    <mergeCell ref="P170:Q170"/>
    <mergeCell ref="P171:Q171"/>
    <mergeCell ref="P172:Q172"/>
    <mergeCell ref="P161:Q161"/>
    <mergeCell ref="P162:Q162"/>
    <mergeCell ref="P163:Q163"/>
    <mergeCell ref="P164:Q164"/>
    <mergeCell ref="P165:Q165"/>
    <mergeCell ref="P166:Q166"/>
    <mergeCell ref="P179:Q179"/>
    <mergeCell ref="P180:Q180"/>
    <mergeCell ref="P181:Q181"/>
    <mergeCell ref="P182:Q182"/>
    <mergeCell ref="P183:Q183"/>
    <mergeCell ref="P184:Q184"/>
    <mergeCell ref="P173:Q173"/>
    <mergeCell ref="P174:Q174"/>
    <mergeCell ref="P175:Q175"/>
    <mergeCell ref="P176:Q176"/>
    <mergeCell ref="P177:Q177"/>
    <mergeCell ref="P178:Q178"/>
    <mergeCell ref="P191:Q191"/>
    <mergeCell ref="P192:Q192"/>
    <mergeCell ref="P193:Q193"/>
    <mergeCell ref="P194:Q194"/>
    <mergeCell ref="P195:Q195"/>
    <mergeCell ref="P196:Q196"/>
    <mergeCell ref="P185:Q185"/>
    <mergeCell ref="P186:Q186"/>
    <mergeCell ref="P187:Q187"/>
    <mergeCell ref="P188:Q188"/>
    <mergeCell ref="P189:Q189"/>
    <mergeCell ref="P190:Q190"/>
    <mergeCell ref="P203:Q203"/>
    <mergeCell ref="P204:Q204"/>
    <mergeCell ref="P205:Q205"/>
    <mergeCell ref="P206:Q206"/>
    <mergeCell ref="P207:Q207"/>
    <mergeCell ref="P208:Q208"/>
    <mergeCell ref="P197:Q197"/>
    <mergeCell ref="P198:Q198"/>
    <mergeCell ref="P199:Q199"/>
    <mergeCell ref="P200:Q200"/>
    <mergeCell ref="P201:Q201"/>
    <mergeCell ref="P202:Q202"/>
    <mergeCell ref="P215:Q215"/>
    <mergeCell ref="P216:Q216"/>
    <mergeCell ref="P217:Q217"/>
    <mergeCell ref="P218:Q218"/>
    <mergeCell ref="P219:Q219"/>
    <mergeCell ref="P220:Q220"/>
    <mergeCell ref="P209:Q209"/>
    <mergeCell ref="P210:Q210"/>
    <mergeCell ref="P211:Q211"/>
    <mergeCell ref="P212:Q212"/>
    <mergeCell ref="P213:Q213"/>
    <mergeCell ref="P214:Q214"/>
    <mergeCell ref="P227:Q227"/>
    <mergeCell ref="P228:Q228"/>
    <mergeCell ref="P229:Q229"/>
    <mergeCell ref="P230:Q230"/>
    <mergeCell ref="P231:Q231"/>
    <mergeCell ref="P232:Q232"/>
    <mergeCell ref="P221:Q221"/>
    <mergeCell ref="P222:Q222"/>
    <mergeCell ref="P223:Q223"/>
    <mergeCell ref="P224:Q224"/>
    <mergeCell ref="P225:Q225"/>
    <mergeCell ref="P226:Q226"/>
    <mergeCell ref="P239:Q239"/>
    <mergeCell ref="P240:Q240"/>
    <mergeCell ref="P241:Q241"/>
    <mergeCell ref="P242:Q242"/>
    <mergeCell ref="P243:Q243"/>
    <mergeCell ref="P244:Q244"/>
    <mergeCell ref="P233:Q233"/>
    <mergeCell ref="P234:Q234"/>
    <mergeCell ref="P235:Q235"/>
    <mergeCell ref="P236:Q236"/>
    <mergeCell ref="P237:Q237"/>
    <mergeCell ref="P238:Q238"/>
    <mergeCell ref="P251:Q251"/>
    <mergeCell ref="P252:Q252"/>
    <mergeCell ref="P253:Q253"/>
    <mergeCell ref="P254:Q254"/>
    <mergeCell ref="P255:Q255"/>
    <mergeCell ref="P256:Q256"/>
    <mergeCell ref="P245:Q245"/>
    <mergeCell ref="P246:Q246"/>
    <mergeCell ref="P247:Q247"/>
    <mergeCell ref="P248:Q248"/>
    <mergeCell ref="P249:Q249"/>
    <mergeCell ref="P250:Q250"/>
    <mergeCell ref="P263:Q263"/>
    <mergeCell ref="P264:Q264"/>
    <mergeCell ref="P265:Q265"/>
    <mergeCell ref="P266:Q266"/>
    <mergeCell ref="P267:Q267"/>
    <mergeCell ref="P268:Q268"/>
    <mergeCell ref="P257:Q257"/>
    <mergeCell ref="P258:Q258"/>
    <mergeCell ref="P259:Q259"/>
    <mergeCell ref="P260:Q260"/>
    <mergeCell ref="P261:Q261"/>
    <mergeCell ref="P262:Q262"/>
    <mergeCell ref="P275:Q275"/>
    <mergeCell ref="P276:Q276"/>
    <mergeCell ref="P277:Q277"/>
    <mergeCell ref="P278:Q278"/>
    <mergeCell ref="P279:Q279"/>
    <mergeCell ref="P280:Q280"/>
    <mergeCell ref="P269:Q269"/>
    <mergeCell ref="P270:Q270"/>
    <mergeCell ref="P271:Q271"/>
    <mergeCell ref="P272:Q272"/>
    <mergeCell ref="P273:Q273"/>
    <mergeCell ref="P274:Q274"/>
    <mergeCell ref="P287:Q287"/>
    <mergeCell ref="P288:Q288"/>
    <mergeCell ref="P289:Q289"/>
    <mergeCell ref="P290:Q290"/>
    <mergeCell ref="P291:Q291"/>
    <mergeCell ref="P292:Q292"/>
    <mergeCell ref="P281:Q281"/>
    <mergeCell ref="P282:Q282"/>
    <mergeCell ref="P283:Q283"/>
    <mergeCell ref="P284:Q284"/>
    <mergeCell ref="P285:Q285"/>
    <mergeCell ref="P286:Q286"/>
    <mergeCell ref="P299:Q299"/>
    <mergeCell ref="P300:Q300"/>
    <mergeCell ref="P301:Q301"/>
    <mergeCell ref="P302:Q302"/>
    <mergeCell ref="P303:Q303"/>
    <mergeCell ref="P304:Q304"/>
    <mergeCell ref="P293:Q293"/>
    <mergeCell ref="P294:Q294"/>
    <mergeCell ref="P295:Q295"/>
    <mergeCell ref="P296:Q296"/>
    <mergeCell ref="P297:Q297"/>
    <mergeCell ref="P298:Q298"/>
    <mergeCell ref="P311:Q311"/>
    <mergeCell ref="P312:Q312"/>
    <mergeCell ref="P313:Q313"/>
    <mergeCell ref="P314:Q314"/>
    <mergeCell ref="P315:Q315"/>
    <mergeCell ref="P316:Q316"/>
    <mergeCell ref="P305:Q305"/>
    <mergeCell ref="P306:Q306"/>
    <mergeCell ref="P307:Q307"/>
    <mergeCell ref="P308:Q308"/>
    <mergeCell ref="P309:Q309"/>
    <mergeCell ref="P310:Q310"/>
    <mergeCell ref="P323:Q323"/>
    <mergeCell ref="P324:Q324"/>
    <mergeCell ref="P325:Q325"/>
    <mergeCell ref="P326:Q326"/>
    <mergeCell ref="P327:Q327"/>
    <mergeCell ref="P328:Q328"/>
    <mergeCell ref="P317:Q317"/>
    <mergeCell ref="P318:Q318"/>
    <mergeCell ref="P319:Q319"/>
    <mergeCell ref="P320:Q320"/>
    <mergeCell ref="P321:Q321"/>
    <mergeCell ref="P322:Q322"/>
    <mergeCell ref="P335:Q335"/>
    <mergeCell ref="P336:Q336"/>
    <mergeCell ref="P337:Q337"/>
    <mergeCell ref="P338:Q338"/>
    <mergeCell ref="P339:Q339"/>
    <mergeCell ref="P340:Q340"/>
    <mergeCell ref="P329:Q329"/>
    <mergeCell ref="P330:Q330"/>
    <mergeCell ref="P331:Q331"/>
    <mergeCell ref="P332:Q332"/>
    <mergeCell ref="P333:Q333"/>
    <mergeCell ref="P334:Q334"/>
    <mergeCell ref="P347:Q347"/>
    <mergeCell ref="P348:Q348"/>
    <mergeCell ref="P349:Q349"/>
    <mergeCell ref="P350:Q350"/>
    <mergeCell ref="P351:Q351"/>
    <mergeCell ref="P352:Q352"/>
    <mergeCell ref="P341:Q341"/>
    <mergeCell ref="P342:Q342"/>
    <mergeCell ref="P343:Q343"/>
    <mergeCell ref="P344:Q344"/>
    <mergeCell ref="P345:Q345"/>
    <mergeCell ref="P346:Q346"/>
    <mergeCell ref="P359:Q359"/>
    <mergeCell ref="P360:Q360"/>
    <mergeCell ref="P361:Q361"/>
    <mergeCell ref="P362:Q362"/>
    <mergeCell ref="P363:Q363"/>
    <mergeCell ref="P364:Q364"/>
    <mergeCell ref="P353:Q353"/>
    <mergeCell ref="P354:Q354"/>
    <mergeCell ref="P355:Q355"/>
    <mergeCell ref="P356:Q356"/>
    <mergeCell ref="P357:Q357"/>
    <mergeCell ref="P358:Q358"/>
    <mergeCell ref="P371:Q371"/>
    <mergeCell ref="P372:Q372"/>
    <mergeCell ref="P373:Q373"/>
    <mergeCell ref="P374:Q374"/>
    <mergeCell ref="P375:Q375"/>
    <mergeCell ref="P376:Q376"/>
    <mergeCell ref="P365:Q365"/>
    <mergeCell ref="P366:Q366"/>
    <mergeCell ref="P367:Q367"/>
    <mergeCell ref="P368:Q368"/>
    <mergeCell ref="P369:Q369"/>
    <mergeCell ref="P370:Q370"/>
    <mergeCell ref="P383:Q383"/>
    <mergeCell ref="P384:Q384"/>
    <mergeCell ref="P385:Q385"/>
    <mergeCell ref="P386:Q386"/>
    <mergeCell ref="P387:Q387"/>
    <mergeCell ref="P388:Q388"/>
    <mergeCell ref="P377:Q377"/>
    <mergeCell ref="P378:Q378"/>
    <mergeCell ref="P379:Q379"/>
    <mergeCell ref="P380:Q380"/>
    <mergeCell ref="P381:Q381"/>
    <mergeCell ref="P382:Q382"/>
    <mergeCell ref="P395:Q395"/>
    <mergeCell ref="P396:Q396"/>
    <mergeCell ref="P397:Q397"/>
    <mergeCell ref="P398:Q398"/>
    <mergeCell ref="P399:Q399"/>
    <mergeCell ref="P400:Q400"/>
    <mergeCell ref="P389:Q389"/>
    <mergeCell ref="P390:Q390"/>
    <mergeCell ref="P391:Q391"/>
    <mergeCell ref="P392:Q392"/>
    <mergeCell ref="P393:Q393"/>
    <mergeCell ref="P394:Q394"/>
    <mergeCell ref="P407:Q407"/>
    <mergeCell ref="P408:Q408"/>
    <mergeCell ref="P409:Q409"/>
    <mergeCell ref="P410:Q410"/>
    <mergeCell ref="P411:Q411"/>
    <mergeCell ref="P412:Q412"/>
    <mergeCell ref="P401:Q401"/>
    <mergeCell ref="P402:Q402"/>
    <mergeCell ref="P403:Q403"/>
    <mergeCell ref="P404:Q404"/>
    <mergeCell ref="P405:Q405"/>
    <mergeCell ref="P406:Q406"/>
    <mergeCell ref="P419:Q419"/>
    <mergeCell ref="P420:Q420"/>
    <mergeCell ref="P421:Q421"/>
    <mergeCell ref="P422:Q422"/>
    <mergeCell ref="P423:Q423"/>
    <mergeCell ref="P424:Q424"/>
    <mergeCell ref="P413:Q413"/>
    <mergeCell ref="P414:Q414"/>
    <mergeCell ref="P415:Q415"/>
    <mergeCell ref="P416:Q416"/>
    <mergeCell ref="P417:Q417"/>
    <mergeCell ref="P418:Q418"/>
    <mergeCell ref="P431:Q431"/>
    <mergeCell ref="P432:Q432"/>
    <mergeCell ref="P433:Q433"/>
    <mergeCell ref="P434:Q434"/>
    <mergeCell ref="P435:Q435"/>
    <mergeCell ref="P436:Q436"/>
    <mergeCell ref="P425:Q425"/>
    <mergeCell ref="P426:Q426"/>
    <mergeCell ref="P427:Q427"/>
    <mergeCell ref="P428:Q428"/>
    <mergeCell ref="P429:Q429"/>
    <mergeCell ref="P430:Q430"/>
    <mergeCell ref="P443:Q443"/>
    <mergeCell ref="P444:Q444"/>
    <mergeCell ref="P445:Q445"/>
    <mergeCell ref="P446:Q446"/>
    <mergeCell ref="P447:Q447"/>
    <mergeCell ref="P448:Q448"/>
    <mergeCell ref="P437:Q437"/>
    <mergeCell ref="P438:Q438"/>
    <mergeCell ref="P439:Q439"/>
    <mergeCell ref="P440:Q440"/>
    <mergeCell ref="P441:Q441"/>
    <mergeCell ref="P442:Q442"/>
    <mergeCell ref="P455:Q455"/>
    <mergeCell ref="P456:Q456"/>
    <mergeCell ref="P457:Q457"/>
    <mergeCell ref="P458:Q458"/>
    <mergeCell ref="P459:Q459"/>
    <mergeCell ref="P460:Q460"/>
    <mergeCell ref="P449:Q449"/>
    <mergeCell ref="P450:Q450"/>
    <mergeCell ref="P451:Q451"/>
    <mergeCell ref="P452:Q452"/>
    <mergeCell ref="P453:Q453"/>
    <mergeCell ref="P454:Q454"/>
    <mergeCell ref="P467:Q467"/>
    <mergeCell ref="P468:Q468"/>
    <mergeCell ref="P469:Q469"/>
    <mergeCell ref="P470:Q470"/>
    <mergeCell ref="P471:Q471"/>
    <mergeCell ref="P472:Q472"/>
    <mergeCell ref="P461:Q461"/>
    <mergeCell ref="P462:Q462"/>
    <mergeCell ref="P463:Q463"/>
    <mergeCell ref="P464:Q464"/>
    <mergeCell ref="P465:Q465"/>
    <mergeCell ref="P466:Q466"/>
    <mergeCell ref="P479:Q479"/>
    <mergeCell ref="P480:Q480"/>
    <mergeCell ref="P481:Q481"/>
    <mergeCell ref="P482:Q482"/>
    <mergeCell ref="P483:Q483"/>
    <mergeCell ref="P484:Q484"/>
    <mergeCell ref="P473:Q473"/>
    <mergeCell ref="P474:Q474"/>
    <mergeCell ref="P475:Q475"/>
    <mergeCell ref="P476:Q476"/>
    <mergeCell ref="P477:Q477"/>
    <mergeCell ref="P478:Q478"/>
    <mergeCell ref="P491:Q491"/>
    <mergeCell ref="P492:Q492"/>
    <mergeCell ref="P493:Q493"/>
    <mergeCell ref="P494:Q494"/>
    <mergeCell ref="P495:Q495"/>
    <mergeCell ref="P496:Q496"/>
    <mergeCell ref="P485:Q485"/>
    <mergeCell ref="P486:Q486"/>
    <mergeCell ref="P487:Q487"/>
    <mergeCell ref="P488:Q488"/>
    <mergeCell ref="P489:Q489"/>
    <mergeCell ref="P490:Q490"/>
    <mergeCell ref="P503:Q503"/>
    <mergeCell ref="P504:Q504"/>
    <mergeCell ref="P505:Q505"/>
    <mergeCell ref="P506:Q506"/>
    <mergeCell ref="P497:Q497"/>
    <mergeCell ref="P498:Q498"/>
    <mergeCell ref="P499:Q499"/>
    <mergeCell ref="P500:Q500"/>
    <mergeCell ref="P501:Q501"/>
    <mergeCell ref="P502:Q502"/>
  </mergeCells>
  <phoneticPr fontId="3"/>
  <dataValidations count="2">
    <dataValidation type="list" allowBlank="1" showInputMessage="1" showErrorMessage="1" sqref="G507:G1048576" xr:uid="{00000000-0002-0000-0000-000001000000}">
      <formula1>ALL</formula1>
    </dataValidation>
    <dataValidation type="list" allowBlank="1" showInputMessage="1" showErrorMessage="1" sqref="E7:E1048576" xr:uid="{00000000-0002-0000-0000-000000000000}">
      <formula1>"キャンセル"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2000000}">
          <x14:formula1>
            <xm:f>リスト!$F$7:$F$17</xm:f>
          </x14:formula1>
          <xm:sqref>N507:N1048576 K507:K1048576</xm:sqref>
        </x14:dataValidation>
        <x14:dataValidation type="list" allowBlank="1" showInputMessage="1" showErrorMessage="1" xr:uid="{43F50A41-800A-48A8-B97D-54BE8406BFFD}">
          <x14:formula1>
            <xm:f>リスト!$F$7:$F$8</xm:f>
          </x14:formula1>
          <xm:sqref>N9 N12 N33:N39 N28 N30 K7:K39</xm:sqref>
        </x14:dataValidation>
        <x14:dataValidation type="list" allowBlank="1" showInputMessage="1" showErrorMessage="1" xr:uid="{C0C881B7-9537-4D25-825D-3724E1699BFF}">
          <x14:formula1>
            <xm:f>リスト!$H$8:$H$12</xm:f>
          </x14:formula1>
          <xm:sqref>G40:G506</xm:sqref>
        </x14:dataValidation>
        <x14:dataValidation type="list" allowBlank="1" showInputMessage="1" showErrorMessage="1" xr:uid="{3C6F644B-1726-4FE5-99AA-D063977DF4BD}">
          <x14:formula1>
            <xm:f>リスト!$F$7:$F$9</xm:f>
          </x14:formula1>
          <xm:sqref>K40:K506 N40:N506</xm:sqref>
        </x14:dataValidation>
        <x14:dataValidation type="list" allowBlank="1" showInputMessage="1" showErrorMessage="1" xr:uid="{00000000-0002-0000-0000-000003000000}">
          <x14:formula1>
            <xm:f>リスト!#REF!</xm:f>
          </x14:formula1>
          <xm:sqref>M507:M1048576 G7:G39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9"/>
  <sheetViews>
    <sheetView topLeftCell="D4" workbookViewId="0">
      <selection activeCell="K14" sqref="K14"/>
    </sheetView>
  </sheetViews>
  <sheetFormatPr defaultColWidth="9" defaultRowHeight="14.5" x14ac:dyDescent="0.55000000000000004"/>
  <cols>
    <col min="1" max="1" width="9" style="8"/>
    <col min="2" max="2" width="14.75" style="8" bestFit="1" customWidth="1"/>
    <col min="3" max="3" width="12.25" style="8" bestFit="1" customWidth="1"/>
    <col min="4" max="4" width="9" style="8"/>
    <col min="5" max="5" width="20.58203125" style="8" customWidth="1"/>
    <col min="6" max="6" width="25.75" style="8" bestFit="1" customWidth="1"/>
    <col min="7" max="7" width="15.33203125" style="8" customWidth="1"/>
    <col min="8" max="8" width="27.83203125" style="22" bestFit="1" customWidth="1"/>
    <col min="9" max="16384" width="9" style="8"/>
  </cols>
  <sheetData>
    <row r="2" spans="2:8" ht="22.5" x14ac:dyDescent="0.55000000000000004">
      <c r="B2" s="7" t="s">
        <v>29</v>
      </c>
      <c r="C2" s="96" t="s">
        <v>145</v>
      </c>
      <c r="D2" s="96"/>
      <c r="E2" s="96"/>
    </row>
    <row r="3" spans="2:8" ht="22.5" x14ac:dyDescent="0.55000000000000004">
      <c r="B3" s="9"/>
      <c r="C3" s="9"/>
    </row>
    <row r="6" spans="2:8" x14ac:dyDescent="0.55000000000000004">
      <c r="B6" s="10" t="s">
        <v>30</v>
      </c>
      <c r="C6" s="11">
        <v>46082</v>
      </c>
      <c r="E6" s="12" t="s">
        <v>31</v>
      </c>
      <c r="F6" s="12" t="s">
        <v>32</v>
      </c>
      <c r="H6" s="23"/>
    </row>
    <row r="7" spans="2:8" x14ac:dyDescent="0.55000000000000004">
      <c r="B7" s="10" t="s">
        <v>33</v>
      </c>
      <c r="C7" s="11">
        <v>47177</v>
      </c>
      <c r="E7" s="13" t="s">
        <v>34</v>
      </c>
      <c r="F7" s="13" t="s">
        <v>35</v>
      </c>
      <c r="G7" s="8" t="s">
        <v>137</v>
      </c>
      <c r="H7" s="24" t="s">
        <v>136</v>
      </c>
    </row>
    <row r="8" spans="2:8" x14ac:dyDescent="0.55000000000000004">
      <c r="B8" s="10" t="s">
        <v>36</v>
      </c>
      <c r="C8" s="14">
        <v>100</v>
      </c>
      <c r="E8" s="12" t="s">
        <v>37</v>
      </c>
      <c r="F8" s="13" t="s">
        <v>38</v>
      </c>
      <c r="G8" s="8" t="s">
        <v>138</v>
      </c>
      <c r="H8" s="15" t="s">
        <v>12</v>
      </c>
    </row>
    <row r="9" spans="2:8" x14ac:dyDescent="0.55000000000000004">
      <c r="B9" s="10" t="s">
        <v>39</v>
      </c>
      <c r="C9" s="14"/>
      <c r="E9" s="13" t="str">
        <f>IF(COUNTIF(E7,"*買取*"),"買取","レンタル")</f>
        <v>レンタル</v>
      </c>
      <c r="F9" s="13" t="s">
        <v>140</v>
      </c>
      <c r="G9" s="8" t="s">
        <v>139</v>
      </c>
      <c r="H9" s="15" t="s">
        <v>40</v>
      </c>
    </row>
    <row r="10" spans="2:8" x14ac:dyDescent="0.55000000000000004">
      <c r="E10" s="12" t="s">
        <v>41</v>
      </c>
      <c r="F10" s="13"/>
      <c r="H10" s="23" t="s">
        <v>133</v>
      </c>
    </row>
    <row r="11" spans="2:8" x14ac:dyDescent="0.55000000000000004">
      <c r="E11" s="13" t="str">
        <f>IF(COUNTIF(E7,"*故障・紛失*"),"なし","あり")</f>
        <v>なし</v>
      </c>
      <c r="F11" s="13"/>
      <c r="H11" s="23" t="s">
        <v>134</v>
      </c>
    </row>
    <row r="12" spans="2:8" x14ac:dyDescent="0.55000000000000004">
      <c r="E12" s="12" t="s">
        <v>42</v>
      </c>
      <c r="F12" s="13"/>
      <c r="H12" s="23" t="s">
        <v>135</v>
      </c>
    </row>
    <row r="13" spans="2:8" x14ac:dyDescent="0.55000000000000004">
      <c r="B13" s="8" t="s">
        <v>43</v>
      </c>
      <c r="C13" s="8" t="s">
        <v>44</v>
      </c>
      <c r="E13" s="13" t="s">
        <v>45</v>
      </c>
      <c r="F13" s="13"/>
      <c r="H13" s="23"/>
    </row>
    <row r="14" spans="2:8" x14ac:dyDescent="0.55000000000000004">
      <c r="C14" s="8" t="s">
        <v>46</v>
      </c>
      <c r="F14" s="13"/>
      <c r="H14" s="23"/>
    </row>
    <row r="15" spans="2:8" x14ac:dyDescent="0.55000000000000004">
      <c r="C15" s="8" t="s">
        <v>47</v>
      </c>
      <c r="F15" s="13"/>
      <c r="H15" s="23"/>
    </row>
    <row r="16" spans="2:8" x14ac:dyDescent="0.55000000000000004">
      <c r="F16" s="13"/>
      <c r="H16" s="23"/>
    </row>
    <row r="17" spans="6:8" x14ac:dyDescent="0.55000000000000004">
      <c r="F17" s="13"/>
      <c r="H17" s="23"/>
    </row>
    <row r="18" spans="6:8" x14ac:dyDescent="0.55000000000000004">
      <c r="H18" s="23"/>
    </row>
    <row r="19" spans="6:8" x14ac:dyDescent="0.55000000000000004">
      <c r="H19" s="23"/>
    </row>
  </sheetData>
  <mergeCells count="1">
    <mergeCell ref="C2:E2"/>
  </mergeCells>
  <phoneticPr fontId="3"/>
  <conditionalFormatting sqref="C6:C9">
    <cfRule type="expression" dxfId="4" priority="3">
      <formula>C6=""</formula>
    </cfRule>
  </conditionalFormatting>
  <conditionalFormatting sqref="C2:E2">
    <cfRule type="expression" dxfId="3" priority="6">
      <formula>$C$2=""</formula>
    </cfRule>
  </conditionalFormatting>
  <conditionalFormatting sqref="E7">
    <cfRule type="expression" dxfId="2" priority="9">
      <formula>$E$7=""</formula>
    </cfRule>
  </conditionalFormatting>
  <conditionalFormatting sqref="E13">
    <cfRule type="expression" dxfId="1" priority="8">
      <formula>$E$13=""</formula>
    </cfRule>
  </conditionalFormatting>
  <conditionalFormatting sqref="F7:F9">
    <cfRule type="expression" dxfId="0" priority="1">
      <formula>F7=""</formula>
    </cfRule>
  </conditionalFormatting>
  <dataValidations count="2">
    <dataValidation type="list" allowBlank="1" showInputMessage="1" showErrorMessage="1" sqref="E13" xr:uid="{00000000-0002-0000-0200-000000000000}">
      <formula1>"-,中央,関西"</formula1>
    </dataValidation>
    <dataValidation type="list" allowBlank="1" showInputMessage="1" showErrorMessage="1" sqref="E7" xr:uid="{00000000-0002-0000-0200-000001000000}">
      <formula1>#REF!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623BF72B3DC04C8D9DF9AE1D8B3DA1" ma:contentTypeVersion="28" ma:contentTypeDescription="新しいドキュメントを作成します。" ma:contentTypeScope="" ma:versionID="b39d6ffae14cadf99f51d1796b490175">
  <xsd:schema xmlns:xsd="http://www.w3.org/2001/XMLSchema" xmlns:xs="http://www.w3.org/2001/XMLSchema" xmlns:p="http://schemas.microsoft.com/office/2006/metadata/properties" xmlns:ns2="54781b69-be1d-4206-9f0d-bfde6ca1f467" xmlns:ns3="add960be-675f-4fdc-a279-0bfcadca5d4c" targetNamespace="http://schemas.microsoft.com/office/2006/metadata/properties" ma:root="true" ma:fieldsID="479139b6a345c01c9a5190b0a55fe21d" ns2:_="" ns3:_="">
    <xsd:import namespace="54781b69-be1d-4206-9f0d-bfde6ca1f467"/>
    <xsd:import namespace="add960be-675f-4fdc-a279-0bfcadca5d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mo" minOccurs="0"/>
                <xsd:element ref="ns2:_x0031_T__x8acb__x6c42__x51e6__x7406_" minOccurs="0"/>
                <xsd:element ref="ns2:_x0031_T_xff1a__x8acb__x6c42__x66f8__x767a__x884c_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781b69-be1d-4206-9f0d-bfde6ca1f4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40495dbf-c790-4553-8539-553daef38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20" nillable="true" ma:displayName="承認の状態" ma:internalName="_x627f__x8a8d__x306e__x72b6__x614b_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mo" ma:index="23" nillable="true" ma:displayName="memo※削除予定" ma:format="Dropdown" ma:internalName="memo">
      <xsd:simpleType>
        <xsd:restriction base="dms:Text">
          <xsd:maxLength value="255"/>
        </xsd:restriction>
      </xsd:simpleType>
    </xsd:element>
    <xsd:element name="_x0031_T__x8acb__x6c42__x51e6__x7406_" ma:index="24" nillable="true" ma:displayName="1T_請求処理" ma:default="0" ma:description="1Tが請求処理を行う案件" ma:format="Dropdown" ma:internalName="_x0031_T__x8acb__x6c42__x51e6__x7406_">
      <xsd:simpleType>
        <xsd:restriction base="dms:Boolean"/>
      </xsd:simpleType>
    </xsd:element>
    <xsd:element name="_x0031_T_xff1a__x8acb__x6c42__x66f8__x767a__x884c_" ma:index="25" nillable="true" ma:displayName="タグ" ma:format="Dropdown" ma:internalName="_x0031_T_xff1a__x8acb__x6c42__x66f8__x767a__x884c_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1T：請求書発行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ArchiverLinkFileType" ma:index="26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960be-675f-4fdc-a279-0bfcadca5d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aab3bba-030d-4a28-90d9-72cec260ce7d}" ma:internalName="TaxCatchAll" ma:showField="CatchAllData" ma:web="add960be-675f-4fdc-a279-0bfcadca5d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d960be-675f-4fdc-a279-0bfcadca5d4c" xsi:nil="true"/>
    <_Flow_SignoffStatus xmlns="54781b69-be1d-4206-9f0d-bfde6ca1f467" xsi:nil="true"/>
    <lcf76f155ced4ddcb4097134ff3c332f xmlns="54781b69-be1d-4206-9f0d-bfde6ca1f467">
      <Terms xmlns="http://schemas.microsoft.com/office/infopath/2007/PartnerControls"/>
    </lcf76f155ced4ddcb4097134ff3c332f>
    <SharedWithUsers xmlns="add960be-675f-4fdc-a279-0bfcadca5d4c">
      <UserInfo>
        <DisplayName/>
        <AccountId xsi:nil="true"/>
        <AccountType/>
      </UserInfo>
    </SharedWithUsers>
    <memo xmlns="54781b69-be1d-4206-9f0d-bfde6ca1f467" xsi:nil="true"/>
    <_x0031_T__x8acb__x6c42__x51e6__x7406_ xmlns="54781b69-be1d-4206-9f0d-bfde6ca1f467">false</_x0031_T__x8acb__x6c42__x51e6__x7406_>
    <_x0031_T_xff1a__x8acb__x6c42__x66f8__x767a__x884c_ xmlns="54781b69-be1d-4206-9f0d-bfde6ca1f467" xsi:nil="true"/>
    <ArchiverLinkFileType xmlns="54781b69-be1d-4206-9f0d-bfde6ca1f46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E6C602-34C9-4A80-958E-9A1B6B20C0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81b69-be1d-4206-9f0d-bfde6ca1f467"/>
    <ds:schemaRef ds:uri="add960be-675f-4fdc-a279-0bfcadca5d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5621CC-D93C-46F6-9572-DC722012605E}">
  <ds:schemaRefs>
    <ds:schemaRef ds:uri="add960be-675f-4fdc-a279-0bfcadca5d4c"/>
    <ds:schemaRef ds:uri="http://schemas.openxmlformats.org/package/2006/metadata/core-properties"/>
    <ds:schemaRef ds:uri="54781b69-be1d-4206-9f0d-bfde6ca1f467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1C362D6-A0A6-40D9-BF9E-D884A246399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bb4fa5d-3ac5-4415-967c-34900a0e1c6f}" enabled="1" method="Privileged" siteId="{a629ef32-67ba-47a6-8eb3-ec43935644f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受付管理簿</vt:lpstr>
      <vt:lpstr>リスト</vt:lpstr>
    </vt:vector>
  </TitlesOfParts>
  <Manager/>
  <Company>DOCOMO Systems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H6212697</dc:creator>
  <cp:keywords/>
  <dc:description/>
  <cp:lastModifiedBy>LIBEO_2</cp:lastModifiedBy>
  <cp:revision/>
  <dcterms:created xsi:type="dcterms:W3CDTF">2022-05-26T04:37:29Z</dcterms:created>
  <dcterms:modified xsi:type="dcterms:W3CDTF">2026-04-21T08:39:49Z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0x01010051623BF72B3DC04C8D9DF9AE1D8B3DA1</vt:lpwstr>
  </property>
  <property fmtid="{D5CDD505-2E9C-101B-9397-08002B2CF9AE}" pid="3" name="MSIP_Label_ef683064-e914-40cc-b246-2b5927a3a354_Enabled">
    <vt:lpwstr>true</vt:lpwstr>
  </property>
  <property fmtid="{D5CDD505-2E9C-101B-9397-08002B2CF9AE}" pid="4" name="MSIP_Label_ef683064-e914-40cc-b246-2b5927a3a354_SetDate">
    <vt:lpwstr>2023-03-31T08:51:17Z</vt:lpwstr>
  </property>
  <property fmtid="{D5CDD505-2E9C-101B-9397-08002B2CF9AE}" pid="5" name="MSIP_Label_ef683064-e914-40cc-b246-2b5927a3a354_Method">
    <vt:lpwstr>Privileged</vt:lpwstr>
  </property>
  <property fmtid="{D5CDD505-2E9C-101B-9397-08002B2CF9AE}" pid="6" name="MSIP_Label_ef683064-e914-40cc-b246-2b5927a3a354_Name">
    <vt:lpwstr>ef683064-e914-40cc-b246-2b5927a3a354</vt:lpwstr>
  </property>
  <property fmtid="{D5CDD505-2E9C-101B-9397-08002B2CF9AE}" pid="7" name="MSIP_Label_ef683064-e914-40cc-b246-2b5927a3a354_SiteId">
    <vt:lpwstr>a629ef32-67ba-47a6-8eb3-ec43935644fc</vt:lpwstr>
  </property>
  <property fmtid="{D5CDD505-2E9C-101B-9397-08002B2CF9AE}" pid="8" name="MSIP_Label_ef683064-e914-40cc-b246-2b5927a3a354_ActionId">
    <vt:lpwstr>51405a53-1998-46a2-aef2-3c00428a9a6d</vt:lpwstr>
  </property>
  <property fmtid="{D5CDD505-2E9C-101B-9397-08002B2CF9AE}" pid="9" name="MSIP_Label_ef683064-e914-40cc-b246-2b5927a3a354_ContentBits">
    <vt:lpwstr>0</vt:lpwstr>
  </property>
  <property fmtid="{D5CDD505-2E9C-101B-9397-08002B2CF9AE}" pid="10" name="xd_ProgID">
    <vt:lpwstr/>
  </property>
  <property fmtid="{D5CDD505-2E9C-101B-9397-08002B2CF9AE}" pid="11" name="MediaServiceImageTags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</Properties>
</file>